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stenruff/Documents/Collaborations/Lishko/CATSPER/"/>
    </mc:Choice>
  </mc:AlternateContent>
  <xr:revisionPtr revIDLastSave="0" documentId="13_ncr:1_{4AC581DA-A041-AE4E-AD40-0E0035879D63}" xr6:coauthVersionLast="47" xr6:coauthVersionMax="47" xr10:uidLastSave="{00000000-0000-0000-0000-000000000000}"/>
  <bookViews>
    <workbookView xWindow="9580" yWindow="760" windowWidth="23140" windowHeight="19980" xr2:uid="{D4F142F8-3B2C-1A4E-B27E-C46BA626C004}"/>
  </bookViews>
  <sheets>
    <sheet name="Sheet1" sheetId="1" r:id="rId1"/>
  </sheets>
  <definedNames>
    <definedName name="_xlnm._FilterDatabase" localSheetId="0" hidden="1">Sheet1!$A$1:$T$48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2" i="1"/>
</calcChain>
</file>

<file path=xl/sharedStrings.xml><?xml version="1.0" encoding="utf-8"?>
<sst xmlns="http://schemas.openxmlformats.org/spreadsheetml/2006/main" count="637" uniqueCount="447">
  <si>
    <t>T, °C </t>
  </si>
  <si>
    <t>NT, aa </t>
  </si>
  <si>
    <t>1 </t>
  </si>
  <si>
    <t>Oncorhynchus mykiss </t>
  </si>
  <si>
    <t>Rainbow trout </t>
  </si>
  <si>
    <t>7 </t>
  </si>
  <si>
    <t>65 </t>
  </si>
  <si>
    <t>4.6 </t>
  </si>
  <si>
    <t>3 </t>
  </si>
  <si>
    <t>10.7 </t>
  </si>
  <si>
    <t>424 </t>
  </si>
  <si>
    <t>46 </t>
  </si>
  <si>
    <t>2 </t>
  </si>
  <si>
    <t>Salmo salar </t>
  </si>
  <si>
    <t>Atlantic salmon </t>
  </si>
  <si>
    <t>6 </t>
  </si>
  <si>
    <t>111 </t>
  </si>
  <si>
    <t>3.6 </t>
  </si>
  <si>
    <t>4 </t>
  </si>
  <si>
    <t>10.1 </t>
  </si>
  <si>
    <t>470 </t>
  </si>
  <si>
    <t>47 </t>
  </si>
  <si>
    <t>Lamellibrachia satsuma </t>
  </si>
  <si>
    <t>Satsuma tube worm </t>
  </si>
  <si>
    <t>14 </t>
  </si>
  <si>
    <t>15 </t>
  </si>
  <si>
    <t>0 </t>
  </si>
  <si>
    <t>4.4 </t>
  </si>
  <si>
    <t>351 </t>
  </si>
  <si>
    <t>48 </t>
  </si>
  <si>
    <t>Ciona intestinalis </t>
  </si>
  <si>
    <t>Sea squirt </t>
  </si>
  <si>
    <t>89 </t>
  </si>
  <si>
    <t>4.5 </t>
  </si>
  <si>
    <t>9.8 </t>
  </si>
  <si>
    <t>465 </t>
  </si>
  <si>
    <t>49 </t>
  </si>
  <si>
    <t>5 </t>
  </si>
  <si>
    <t>Strongylocentrotus purpuratus </t>
  </si>
  <si>
    <t>Purple sea urchin </t>
  </si>
  <si>
    <t>15.5 </t>
  </si>
  <si>
    <t>120 </t>
  </si>
  <si>
    <t>5.8 </t>
  </si>
  <si>
    <t>6.7 </t>
  </si>
  <si>
    <t>474 </t>
  </si>
  <si>
    <t>50 </t>
  </si>
  <si>
    <t>Apostichopus japonicus </t>
  </si>
  <si>
    <t>Japanese sea cucumber </t>
  </si>
  <si>
    <t>16 </t>
  </si>
  <si>
    <t>102 </t>
  </si>
  <si>
    <t>2.9 </t>
  </si>
  <si>
    <t>456 </t>
  </si>
  <si>
    <t>51 </t>
  </si>
  <si>
    <t>Nematostella vectensis </t>
  </si>
  <si>
    <t>Starlet sea anemone </t>
  </si>
  <si>
    <t>20 </t>
  </si>
  <si>
    <t>11 </t>
  </si>
  <si>
    <t>9.1 </t>
  </si>
  <si>
    <t>11.2 </t>
  </si>
  <si>
    <t>385 </t>
  </si>
  <si>
    <t>52 </t>
  </si>
  <si>
    <t>8 </t>
  </si>
  <si>
    <t>Paramuricea clavata </t>
  </si>
  <si>
    <t>Red gorgonian sea fan </t>
  </si>
  <si>
    <t>23 </t>
  </si>
  <si>
    <t>9 </t>
  </si>
  <si>
    <t>33.3 </t>
  </si>
  <si>
    <t>11.0 </t>
  </si>
  <si>
    <t>230 </t>
  </si>
  <si>
    <t>53 </t>
  </si>
  <si>
    <t>Orchesella cincta </t>
  </si>
  <si>
    <t>Springtail </t>
  </si>
  <si>
    <t>25 </t>
  </si>
  <si>
    <t>191 </t>
  </si>
  <si>
    <t>2.6 </t>
  </si>
  <si>
    <t>5.3 </t>
  </si>
  <si>
    <t>633 </t>
  </si>
  <si>
    <t>54 </t>
  </si>
  <si>
    <t>10 </t>
  </si>
  <si>
    <t>Stylophora pistillata </t>
  </si>
  <si>
    <t>Smooth cauliflower coral </t>
  </si>
  <si>
    <t>25.5 </t>
  </si>
  <si>
    <t>12 </t>
  </si>
  <si>
    <t>16.7 </t>
  </si>
  <si>
    <t>9.7 </t>
  </si>
  <si>
    <t>340 </t>
  </si>
  <si>
    <t>55 </t>
  </si>
  <si>
    <t>Lingula anatina </t>
  </si>
  <si>
    <t>Lingula brachiopod </t>
  </si>
  <si>
    <t>26 </t>
  </si>
  <si>
    <t>138 </t>
  </si>
  <si>
    <t>6.5 </t>
  </si>
  <si>
    <t>496 </t>
  </si>
  <si>
    <t>56 </t>
  </si>
  <si>
    <t>Acropora digitifera </t>
  </si>
  <si>
    <t>Finger coral </t>
  </si>
  <si>
    <t>28 </t>
  </si>
  <si>
    <t>260 </t>
  </si>
  <si>
    <t>57 </t>
  </si>
  <si>
    <t>13 </t>
  </si>
  <si>
    <t>Acropora millepora </t>
  </si>
  <si>
    <t>Staghorn coral </t>
  </si>
  <si>
    <t>383 </t>
  </si>
  <si>
    <t>58 </t>
  </si>
  <si>
    <t>Pelodiscus sinensis </t>
  </si>
  <si>
    <t>Chinese softshell turtle </t>
  </si>
  <si>
    <t>28.5 </t>
  </si>
  <si>
    <t>95 </t>
  </si>
  <si>
    <t>1.1 </t>
  </si>
  <si>
    <t>10.0 </t>
  </si>
  <si>
    <t>493 </t>
  </si>
  <si>
    <t>59 </t>
  </si>
  <si>
    <t>Alligator mississippiensis </t>
  </si>
  <si>
    <t>American alligator </t>
  </si>
  <si>
    <t>31 </t>
  </si>
  <si>
    <t>2.0 </t>
  </si>
  <si>
    <t>430 </t>
  </si>
  <si>
    <t>60 </t>
  </si>
  <si>
    <t>Heterocephalus glaber </t>
  </si>
  <si>
    <t>Naked mole-rat </t>
  </si>
  <si>
    <t>459 </t>
  </si>
  <si>
    <t>26.4 </t>
  </si>
  <si>
    <t>121 </t>
  </si>
  <si>
    <t>6.8 </t>
  </si>
  <si>
    <t>816 </t>
  </si>
  <si>
    <t>61 </t>
  </si>
  <si>
    <t>17 </t>
  </si>
  <si>
    <t>Ornithorhynchus anatinus </t>
  </si>
  <si>
    <t>Platypus </t>
  </si>
  <si>
    <t>32.5 </t>
  </si>
  <si>
    <t>112 </t>
  </si>
  <si>
    <t>466 </t>
  </si>
  <si>
    <t>62 </t>
  </si>
  <si>
    <t>18 </t>
  </si>
  <si>
    <t>Podarcis muralis </t>
  </si>
  <si>
    <t>Common wall lizard </t>
  </si>
  <si>
    <t>33.5 </t>
  </si>
  <si>
    <t>127 </t>
  </si>
  <si>
    <t>3.2 </t>
  </si>
  <si>
    <t>11.9 </t>
  </si>
  <si>
    <t>488 </t>
  </si>
  <si>
    <t>63 </t>
  </si>
  <si>
    <t>19 </t>
  </si>
  <si>
    <t>Vombatus ursinus </t>
  </si>
  <si>
    <t>Common wombat </t>
  </si>
  <si>
    <t>34 </t>
  </si>
  <si>
    <t>74 </t>
  </si>
  <si>
    <t>4.1 </t>
  </si>
  <si>
    <t>8.9 </t>
  </si>
  <si>
    <t>428 </t>
  </si>
  <si>
    <t>64 </t>
  </si>
  <si>
    <t>Monodelphis domestica </t>
  </si>
  <si>
    <t>Gray short-tailed opossum </t>
  </si>
  <si>
    <t>107 </t>
  </si>
  <si>
    <t>3.7 </t>
  </si>
  <si>
    <t>9.9 </t>
  </si>
  <si>
    <t>468 </t>
  </si>
  <si>
    <t>21 </t>
  </si>
  <si>
    <t>Varanus komodoensis </t>
  </si>
  <si>
    <t>Komodo dragon </t>
  </si>
  <si>
    <t>34.5 </t>
  </si>
  <si>
    <t>124 </t>
  </si>
  <si>
    <t>11.8 </t>
  </si>
  <si>
    <t>626 </t>
  </si>
  <si>
    <t>66 </t>
  </si>
  <si>
    <t>22 </t>
  </si>
  <si>
    <t>Elephantulus edwardii </t>
  </si>
  <si>
    <t>Cape Rock Elephant Shrew </t>
  </si>
  <si>
    <t>35 </t>
  </si>
  <si>
    <t>226 </t>
  </si>
  <si>
    <t>10.9 </t>
  </si>
  <si>
    <t>580 </t>
  </si>
  <si>
    <t>67 </t>
  </si>
  <si>
    <t>Sarcophilus harrisii </t>
  </si>
  <si>
    <t>Tasmanian devil </t>
  </si>
  <si>
    <t>35.5 </t>
  </si>
  <si>
    <t>141 </t>
  </si>
  <si>
    <t>5.0 </t>
  </si>
  <si>
    <t>11.1 </t>
  </si>
  <si>
    <t>491 </t>
  </si>
  <si>
    <t>68 </t>
  </si>
  <si>
    <t>24 </t>
  </si>
  <si>
    <t>Fukomys damarensis </t>
  </si>
  <si>
    <t>Damaraland mole-rat </t>
  </si>
  <si>
    <t>556 </t>
  </si>
  <si>
    <t>147 </t>
  </si>
  <si>
    <t>953 </t>
  </si>
  <si>
    <t>69 </t>
  </si>
  <si>
    <t>Phascolarctos cinereus </t>
  </si>
  <si>
    <t>Koala </t>
  </si>
  <si>
    <t>36 </t>
  </si>
  <si>
    <t>113 </t>
  </si>
  <si>
    <t>6.2 </t>
  </si>
  <si>
    <t>467 </t>
  </si>
  <si>
    <t>70 </t>
  </si>
  <si>
    <t>Species name</t>
  </si>
  <si>
    <t>Common name</t>
  </si>
  <si>
    <t>% His in NT</t>
  </si>
  <si>
    <t># His in NT</t>
  </si>
  <si>
    <t>NT pI</t>
  </si>
  <si>
    <t>CatSper1 total aa</t>
  </si>
  <si>
    <t>Citation</t>
  </si>
  <si>
    <t>Lipotes vexillifer </t>
  </si>
  <si>
    <t>Yangtze river dolphin (baiji) </t>
  </si>
  <si>
    <t>19.1 </t>
  </si>
  <si>
    <t>7.5 </t>
  </si>
  <si>
    <t>705 </t>
  </si>
  <si>
    <t>71 </t>
  </si>
  <si>
    <t>27 </t>
  </si>
  <si>
    <t>Loxodonta africana </t>
  </si>
  <si>
    <t>African elephant </t>
  </si>
  <si>
    <t>449 </t>
  </si>
  <si>
    <t>21.2 </t>
  </si>
  <si>
    <t>7.0 </t>
  </si>
  <si>
    <t>804 </t>
  </si>
  <si>
    <t>72 </t>
  </si>
  <si>
    <t>Notamacropus eugenii </t>
  </si>
  <si>
    <t>Tammar wallaby </t>
  </si>
  <si>
    <t>7.1 </t>
  </si>
  <si>
    <t>10.2 </t>
  </si>
  <si>
    <t>73 </t>
  </si>
  <si>
    <t>29 </t>
  </si>
  <si>
    <t>Tursiops truncatus </t>
  </si>
  <si>
    <t>Bottlenose dolphin </t>
  </si>
  <si>
    <t>36.5 </t>
  </si>
  <si>
    <t>192 </t>
  </si>
  <si>
    <t>7.3 </t>
  </si>
  <si>
    <t>8.0 </t>
  </si>
  <si>
    <t>547 </t>
  </si>
  <si>
    <t>30 </t>
  </si>
  <si>
    <t>Homo sapiens </t>
  </si>
  <si>
    <t>Human </t>
  </si>
  <si>
    <t>19.4 </t>
  </si>
  <si>
    <t>83 </t>
  </si>
  <si>
    <t>7.6 </t>
  </si>
  <si>
    <t>780 </t>
  </si>
  <si>
    <t>75 </t>
  </si>
  <si>
    <t>Mus musculus </t>
  </si>
  <si>
    <t>Domestic mouse </t>
  </si>
  <si>
    <t>332 </t>
  </si>
  <si>
    <t>17.2 </t>
  </si>
  <si>
    <t>8.2 </t>
  </si>
  <si>
    <t>686 </t>
  </si>
  <si>
    <t>17,76 </t>
  </si>
  <si>
    <t>32 </t>
  </si>
  <si>
    <t>Macaca mulatta </t>
  </si>
  <si>
    <t>Rhesus macaque </t>
  </si>
  <si>
    <t>37 </t>
  </si>
  <si>
    <t>413 </t>
  </si>
  <si>
    <t>18.9 </t>
  </si>
  <si>
    <t>78 </t>
  </si>
  <si>
    <t>7.4 </t>
  </si>
  <si>
    <t>798 </t>
  </si>
  <si>
    <t>77 </t>
  </si>
  <si>
    <t>33 </t>
  </si>
  <si>
    <t>Mirounga angustirostris </t>
  </si>
  <si>
    <t>Northern elephant seal </t>
  </si>
  <si>
    <t>374 </t>
  </si>
  <si>
    <t>15.0 </t>
  </si>
  <si>
    <t>8.6 </t>
  </si>
  <si>
    <t>727 </t>
  </si>
  <si>
    <t>Physeter macrocephalus </t>
  </si>
  <si>
    <t>Sperm whale </t>
  </si>
  <si>
    <t>265 </t>
  </si>
  <si>
    <t>41 </t>
  </si>
  <si>
    <t>9.4 </t>
  </si>
  <si>
    <t>619 </t>
  </si>
  <si>
    <t>79 </t>
  </si>
  <si>
    <t>Myotis lucifugus </t>
  </si>
  <si>
    <t>Little brown bat </t>
  </si>
  <si>
    <t>322 </t>
  </si>
  <si>
    <t>17.4 </t>
  </si>
  <si>
    <t>678 </t>
  </si>
  <si>
    <t>80 </t>
  </si>
  <si>
    <t>Equus caballus </t>
  </si>
  <si>
    <t>Horse </t>
  </si>
  <si>
    <t>37.5 </t>
  </si>
  <si>
    <t>25.6 </t>
  </si>
  <si>
    <t>119 </t>
  </si>
  <si>
    <t>820 </t>
  </si>
  <si>
    <t>81 </t>
  </si>
  <si>
    <t>Ursus arctos </t>
  </si>
  <si>
    <t>Brown bear </t>
  </si>
  <si>
    <t>343 </t>
  </si>
  <si>
    <t>5.5 </t>
  </si>
  <si>
    <t>696 </t>
  </si>
  <si>
    <t>82 </t>
  </si>
  <si>
    <t>38 </t>
  </si>
  <si>
    <t>Lontra canadensis </t>
  </si>
  <si>
    <t>North American river otter </t>
  </si>
  <si>
    <t>486 </t>
  </si>
  <si>
    <t>27.2 </t>
  </si>
  <si>
    <t>132 </t>
  </si>
  <si>
    <t>839 </t>
  </si>
  <si>
    <t>39 </t>
  </si>
  <si>
    <t>Octodon degus </t>
  </si>
  <si>
    <t>Degu </t>
  </si>
  <si>
    <t>38.5 </t>
  </si>
  <si>
    <t>508 </t>
  </si>
  <si>
    <t>13.8 </t>
  </si>
  <si>
    <t>912 </t>
  </si>
  <si>
    <t>84 </t>
  </si>
  <si>
    <t>40 </t>
  </si>
  <si>
    <t>Bos taurus </t>
  </si>
  <si>
    <t>Domestic cow </t>
  </si>
  <si>
    <t>425 </t>
  </si>
  <si>
    <t>7.2 </t>
  </si>
  <si>
    <t>759 </t>
  </si>
  <si>
    <t>85 </t>
  </si>
  <si>
    <t>Canis lupus familiaris </t>
  </si>
  <si>
    <t>Domestic dog </t>
  </si>
  <si>
    <t>462 </t>
  </si>
  <si>
    <t>27.5 </t>
  </si>
  <si>
    <t>6.95 </t>
  </si>
  <si>
    <t>897 </t>
  </si>
  <si>
    <t>42 </t>
  </si>
  <si>
    <t>Capra hircus </t>
  </si>
  <si>
    <t>Domestic goat </t>
  </si>
  <si>
    <t>346 </t>
  </si>
  <si>
    <t>18.5 </t>
  </si>
  <si>
    <t>701 </t>
  </si>
  <si>
    <t>43 </t>
  </si>
  <si>
    <t>Capricornis sumatraensis </t>
  </si>
  <si>
    <t>Sumatran serow </t>
  </si>
  <si>
    <t>6.25 </t>
  </si>
  <si>
    <t>86 </t>
  </si>
  <si>
    <t>44 </t>
  </si>
  <si>
    <t>Oryctolagus cuniculus </t>
  </si>
  <si>
    <t>European rabbit </t>
  </si>
  <si>
    <t>524 </t>
  </si>
  <si>
    <t>21.8 </t>
  </si>
  <si>
    <t>114 </t>
  </si>
  <si>
    <t>1022 </t>
  </si>
  <si>
    <t>45 </t>
  </si>
  <si>
    <t>Sus scrofa </t>
  </si>
  <si>
    <t>Domestic pig </t>
  </si>
  <si>
    <t>366 </t>
  </si>
  <si>
    <t>16.9 </t>
  </si>
  <si>
    <t>724 </t>
  </si>
  <si>
    <t>Cavia porcellus </t>
  </si>
  <si>
    <t>Guinea pig </t>
  </si>
  <si>
    <t>39.5 </t>
  </si>
  <si>
    <t>338 </t>
  </si>
  <si>
    <t>16.0 </t>
  </si>
  <si>
    <t>9.0 </t>
  </si>
  <si>
    <t>688 </t>
  </si>
  <si>
    <t>87 </t>
  </si>
  <si>
    <t>Ochotona princeps </t>
  </si>
  <si>
    <t>American pika </t>
  </si>
  <si>
    <t>309 </t>
  </si>
  <si>
    <t>24.0 </t>
  </si>
  <si>
    <t>6.3 </t>
  </si>
  <si>
    <t>663 </t>
  </si>
  <si>
    <t>88 </t>
  </si>
  <si>
    <t>Temperature</t>
  </si>
  <si>
    <t>Eggnog</t>
  </si>
  <si>
    <t>No</t>
  </si>
  <si>
    <t>Yes</t>
  </si>
  <si>
    <t>A0A7M7PSM4</t>
  </si>
  <si>
    <t>Full Sequence</t>
  </si>
  <si>
    <t>MRTDLINMASEDDLQKSNSATYLMSLSYQRNVMRNHRKKAAAAHPVSRLAARRQTMLGPQSIVLPAHLQHLQGEDNSESKLDETTLKRLDSMRSAHAYQAHDINKHEDEEEEELEVRRNKILGDAGFLRHQLYDLTESPLFTGFILCVILFNAFMLCALTFSVIKVRAEWHFKLIDYILLVIYFMECAIKIYVWRWDFFKEMWNIMDFLIVISNVADFGIEIFYGGEVQILAILSIFRAMRALKALRVLKTVRFLRSLQVIMNTCLESVQSMGAIIMLISLFLYIFAVIGRGLYADIDKERFGNIGSAALTLFQLLTLDDWFYIYSDAVARDPNNFHIIFYLITYIALEYFIFLNLFVAVLVDNFQLTLDAASERDALRKAALKEAEDALFDDGIHTHPLAPKPTLSSLSNAHIKMKTIDDYYDEEDYSTSEKKYLSHFLQLLASIEHNGHILRNQQGTLDKVVLLVQDTVDDA</t>
  </si>
  <si>
    <t>NT Sequence</t>
  </si>
  <si>
    <t>MRTDLINMASEDDLQKSNSATYLMSLSYQRNVMRNHRKKAAAAHPVSRLAARRQTMLGPQSIVLPAHLQHLQGEDNSESKLDETTLKRLDSMRSAHAYQAHDINKHEDEEEEELEVRRNK</t>
  </si>
  <si>
    <t>A0A7D9KYI7</t>
  </si>
  <si>
    <t>MTRHHHTPKNLENASEFRLFVYELTESKSFGAFVLFIILLNTVILVVQTDEAISIKGGWYFSAMDNVFLAIYIMELILKLYALGSHFFNSGWNVMDMFIVLFTTVDFLLPLIVRSVGAFDVAAIFRLLRMFRAIRALRALRVLRTIRRHHGRNRISEKSSNHEYRNCRNPTESLKCHFLENMFAVIGRELFSAVDPKRFGSLAKALVTLFQLITLDDWFYMYTDIINVDP</t>
  </si>
  <si>
    <t>MTRHHHTPK</t>
  </si>
  <si>
    <t>A0A1D2MEL7</t>
  </si>
  <si>
    <t>MDTANDSKRTSGGSTGKKKVSTSPQDELHTLWRELVQKARVHEMVKCLQAEKKKLKILQQTVEPDNLDFLEFAAHQQAAKSIAESEGTEEPWDDEVQKSDDVDVVEKVTRSSEVTTRASLTKRDTYAKMGEEHHANIPKSAYNAQRNAAEILSNKPTLTDQEFEDIVELCEDKVEQKALREAFEEKKAREKYLHNADERRTMLYNFINSKFFTNFMLVTIITSIVGIFLLTFEFIAIRFAWPLIMLDSCIIGIFLVEAIFKVTIYKEDYFKQLWNILDMLIIVVHFVELAVDLITRTLALSTDINANIGFKFLKSLRALRLLRVIKFLPNLQVIVATVFQSMLSIGSIALLMLLFIFVFAVMGRGLFFERLPDKFGSLWLSFVTLFQLLTLDDWFELLEENEDDRGIDDDSLRNEGDDRFAYWLMFVYLFGYLVIEFFVFLNLFVAVLVDNFQLTLADAEIQKQKEALEELEAQKKFEDLKKEGSEMDTIDEEVKKDFNEGDQLGLTVEDYFPVDPDSREAELLGEFYKDLNSLDFNRFLWKRRLTLFNMIIDTALSSRANATQVVPEKVTEDDVDHHHDTHKTEDESTQTNRGRLSEKQTAAYLNEDHPSNLPAWNSMPQQSQTRSFFMSQQ</t>
  </si>
  <si>
    <t>MDTANDSKRTSGGSTGKKKVSTSPQDELHTLWRELVQKARVHEMVKCLQAEKKKLKILQQTVEPDNLDFLEFAAHQQAAKSIAESEGTEEPWDDEVQKSDDVDVVEKVTRSSEVTTRASLTKRDTYAKMGEEHHANIPKSAYNAQRNAAEILSNKPTLTDQEFEDIVELCEDKVEQKALREAFEEKKAREK</t>
  </si>
  <si>
    <t>A0A1S3HJ00</t>
  </si>
  <si>
    <t>MTSNAVHKIFHQRRASLANEQRNYIQNTYRNMSHRRKTLGTALEASGIKDNIVEEEEEEEQTALMMKRSQTQESAHLRRSFSVLFESPDKDKEEMADFIEAYVVKQRESLSEAMRLREEVESPTDKLTTGERHRRQKILKQDAGQLHQLLYDFVESKGFGAFILTVIFMNTGMLVAQTWEEIMVRGGWYFSVFDNLFLGIYIMEVVLKIYVYRAKFVGGWNILDLSIVILSLVDFILPLVMTSIGGFNGTAIFRMLRIFRAVRAIRALRVLRTIRFLSNLQVIMTTCLQSIQSMGAIVGLMTLFMYMFAVIGRGLYSGVDPNRFGTLPSATFTLFQLLTLDDWFYIYSDVIDVYPGYWHILIFLLIYIVLEYFIFLNLFVAVLVDNFQLTLEAANEAKKGKKKHPDDSDDEDDIFAVSEVSDETDSTQNSQMSSRLQRQTITEYFGGSELKDREISQMRTIFQLLAALEYNHSTLKSQQQVVDLMVDTCTETNDDM</t>
  </si>
  <si>
    <t>MTSNAVHKIFHQRRASLANEQRNYIQNTYRNMSHRRKTLGTALEASGIKDNIVEEEEEEEQTALMMKRSQTQESAHLRRSFSVLFESPDKDKEEMADFIEAYVVKQRESLSEAMRLREEVESPTDKLTTGERHRRQKI</t>
  </si>
  <si>
    <t>G5BWW6</t>
  </si>
  <si>
    <t>MGEPSMTEQAQNEHNTNNLDILSQSYSSLLHHRPEHDRPHHPYESLHLRGGHHHGESQHHRESHQDFHESAFPHSHHGKAHPHDRSHHPTCLGWAHSSAIIHSHHSYGEDHFDDEHHYGSTIQHGGSHHHTELYHHVGGHHGGPHHHTESYHHDGPHHHTESDHHGGPHHHGRHHYYGGHQHHQSSGVSYQHGETSYLSRFHLPGVLPHPGEYGHHGGIHHQSPSYRHEDSYHSGGPYHHSEDYHYSGSQHHEPHQHNRLHPHESHHHRKHLHHGERLLKHPSEESYHHGTPYFHGESYHGNHRSSEDHHGEHHHHGDHHHGEHHHHGEHHHGEHHHHREHHHQEHHHSAHRYDHLHSNSYRDYRRSSSQHFVPHKPHSITDSTPHLELTKSLPHSKQSYTGARSRGSLASNKVHPQDTSSKDSESWSEDKQYQRQKRGRAQRAHKKHAMNIFQRLSEKLRTLLWGPWTIIRSLTQSLVFETFIFLIVFLNIIMLMAQTFAEVKIRGEWYFMAFDCIFLSIYIIEALLKIISLGLQYFYDPWNNLDFFVVVMAVLDFLLMQVNSLFSFYNHSLFRILKVLKIMRALRAIRIVRRLRILTSLKEVTGTLVGSLLSIITIFILIFSCLLFFSMILTLFRRSDPWRFENFFTTMFTLFTVLTLDDWSLIYMDSRAQGAWYIIPILMIYIFIQNIIFLNLLTAVLVDNFQMALLRDEEKVKQEMTAWIHEKLLDDSLMELNQTEPEEVKSEDTMQFMKKFGTVTEKQWEFQAPFLKLVARLEHHRQKFSSGARIIDEIVDTTFKVSQRTSRSDPGEQHQV</t>
  </si>
  <si>
    <t>MGEPSMTEQAQNEHNTNNLDILSQSYSSLLHHRPEHDRPHHPYESLHLRGGHHHGESQHHRESHQDFHESAFPHSHHGKAHPHDRSHHPTCLGWAHSSAIIHSHHSYGEDHFDDEHHYGSTIQHGGSHHHTELYHHVGGHHGGPHHHTESYHHDGPHHHTESDHHGGPHHHGRHHYYGGHQHHQSSGVSYQHGETSYLSRFHLPGVLPHPGEYGHHGGIHHQSPSYRHEDSYHSGGPYHHSEDYHYSGSQHHEPHQHNRLHPHESHHHRKHLHHGERLLKHPSEESYHHGTPYFHGESYHGNHRSSEDHHGEHHHHGDHHHGEHHHHGEHHHGEHHHHREHHHQEHHHSAHRYDHLHSNSYRDYRRSSSQHFVPHKPHSITDSTPHLELTKSLPHSKQSYTGARSRGSLASNKVHPQDTSSKDSESWSEDKQYQRQKRGRAQRAHKKHAMNIFQRLSEK</t>
  </si>
  <si>
    <t>A0A5F8GRG6</t>
  </si>
  <si>
    <t>MNFLSVPEKSPEPKEATTEKIQVKGSSSTVGKSSFGKHLSVGARTSHTSYGTGSLKSRGSKGSKTSGSMEGDWEQEQEKKSKHKSKMQRGQKKHMTIGDLLKKFCSEIHKICVRIQDMLLVLIKSNYFESFIFIVVCLNTLLLVIQTFAEVEIWGEWYFAVLDSVFLCIYFMEAVLKILVFGLGYFHKWNNLDFAIVIMALLDFVLKQIYFSSAKRLSESKTIFRVLKIFKSFRSLRAIRVLWKLKFLTSLKGVAETLARSASSITAILVLMFTCLFFFSVMLRALFHEEDPKHFGNIFITIFTLFTMLTLDDWSMTFLDKRTTNSWYIIPILMIYIVIQYLIFLNLVIAVLVDNFQIVLRNKQERAKEQKVARMHEKLLDESLTHLDKEVEEQKSDISLQMDIIEKKYGHFTPKQKETMFHYLQLMAAVEHHQQMFRSQAAIIDEIIDTVFEAGENPFNTLRLQQNE</t>
  </si>
  <si>
    <t>MNFLSVPEKSPEPKEATTEKIQVKGSSSTVGKSSFGKHLSVGARTSHTSYGTGSLKSRGSKGSKTSGSMEGDWEQEQEKKSKHKSKMQRGQKKHMTIGDLLKKFCSE</t>
  </si>
  <si>
    <t>A0A7N4PWI1</t>
  </si>
  <si>
    <t>MNYLTVPEEIRREVDTPESLPVPVTLAAPLAAPSAMSHSRTIHIRHPPRSSWNPKSKPSRSGVRIQPSYSSTGQNWEQDHHLKMKRSKTIHLWIPRPGKPRLGPSLPPRRTNFWVLLPGALRRTRKKQIAADELLHKCCGKVFEVFLRIQFMLAVLVQSLIFEIFIFIVVCLNTTVLVVQTFAEVEIWGEWYFTALDSIFLCIYFMEALLKIIVMGLGYFDSWNSLDFFIMVMAMVDFVLKQIYFSSVTRMAHSKTVFGILKIFKSLRALRVVMVLRRLSFLNSLQEVTGTLAGSLPSIGAILVLMFTCLFFFSVIFRSLFNQSDPKRFQNIFTTIFTLFTMLTLDDWSLIYLSSRDKGAWYIVPILMIYIIIQYFIFLNLVIAVLVDNFQMALLKGLEKEKQKPGARPPPIFWPLLSTEPEENLSGISLQIRIIEKKYGDLTESQQEQMFHYLQLMAAVEHHQQVFRSQAAVIDEIIDKVFEAGEEDFKK</t>
  </si>
  <si>
    <t>MNYLTVPEEIRREVDTPESLPVPVTLAAPLAAPSAMSHSRTIHIRHPPRSSWNPKSKPSRSGVRIQPSYSSTGQNWEQDHHLKMKRSKTIHLWIPRPGKPRLGPSLPPRRTNFWVLLPGALRRTRKKQIAADELLHKCCGK</t>
  </si>
  <si>
    <t>A0A6P5IZE6</t>
  </si>
  <si>
    <t>MNYLTVPEETRREVVEPPATPPVISAPTTAAPVIPHSRSSHSKHLAKASHSSWGHTSLKSKPSQSSSQIQPSYTSMGQSWDLDRHVRTKRARVQRVHKKQMAADELLQKCCGKIYEGLHHIQVMLAIMVESLIFEIFIFTVVCFNTLVLVVQTFAEVEIWGEWYFTALDSIFLSIYFMEAVLKIMTMGLGYFDSWNSLDFFILVVAAVDFMLKQFYFSSANRMVQSKTVFRILKIFKSLRALRVIMVLRRLSFLNSLQEVTGTLARSLPSIGAILVLMFTCLFFFSVILRALFSHSDPKHFQNIFTTIFTLFTLLTLDDWSLIYLDSRAKGAWYIIPILMIYIIIQDFIFLNLVIAVLVDNFQMALLKELEKEKQKKVARMHEKLLDESLTNLGTEMEETMSDSSLQMHIIEKKYGDLTSTQQDKMFHYLQLMAAVEHHQQVFRSQAAVIDKIIDTVFEAGEEDFKK</t>
  </si>
  <si>
    <t>MNYLTVPEETRREVVEPPATPPVISAPTTAAPVIPHSRSSHSKHLAKASHSSWGHTSLKSKPSQSSSQIQPSYTSMGQSWDLDRHVRTKRARVQRVHKKQMAADELLQKCCGKI</t>
  </si>
  <si>
    <t>A0A340XSE9</t>
  </si>
  <si>
    <t>MDQPSMAEKAQSEADTDDSDVFSHPSSPTTHHRPGHGGVHRHHQRVSRPDGESHHHGISPHRDGSQDFHDNAFSRHSHRSHHSSFLFPDTSCGAFMSHHSYGEDHFDDEHHHGSRKHHGRPHQHRESYHHGGLNRHRESHHHGGFHHHSEVSHHSGLYHQGAPYNHRDFSHSGSPAQHSEAHHHGGHHHHEAHHHRRPASMGSYHRDEHLHGHRDEHQHREHLQGAHPRIYLHREHRYGEDRRGSSQLFGPYTSHSVASASLGSAYSRQVAPQPGKPERQSSAVSLARSLNTAHSHPAQTSSKVHPQGSSSKTSESWPEEDEQIQKRKTGRAPRTHKKLHTVDLFYLLWEKLSHLIWGLSRMLRKLTDSLAFEAFVVFIVCLNTIMLVAQTFAEVEVRGEWHFMALDSIFLCIYVVEAVLKIIALGLKYFLDPWNNLDFFIMVMAVLDFMLMQVNSSSMRVVYNQSIFRIFKVFKSLRALRAIRVLRRLSFLTSLQEVTGTLARSLPSITAILILMFTCLFLFSVVLRALFRYSDPKRFQNIFTTIFTLFTLLTLDDWSLIYLDSRAQGAWYIIPILMIYIITQYFIFLNLVIAVLVDNFQMALLKGLEKVKQEASQIHEKLLDDSLTELIEAEPEEVISGHTIQKQLIEKKFRGMTEKQRELLFHFLQLVSGVEHYQQKFRSQAAVIDEIVDTAFEAGEEDFRK</t>
  </si>
  <si>
    <t>MDQPSMAEKAQSEADTDDSDVFSHPSSPTTHHRPGHGGVHRHHQRVSRPDGESHHHGISPHRDGSQDFHDNAFSRHSHRSHHSSFLFPDTSCGAFMSHHSYGEDHFDDEHHHGSRKHHGRPHQHRESYHHGGLNRHRESHHHGGFHHHSEVSHHSGLYHQGAPYNHRDFSHSGSPAQHSEAHHHGGHHHHEAHHHRRPASMGSYHRDEHLHGHRDEHQHREHLQGAHPRIYLHREHRYGEDRRGSSQLFGPYTSHSVASASLGSAYSRQVAPQPGKPERQSSAVSLARSLNTAHSHPAQTSSKVHPQGSSSKTSESWPEEDEQIQKRKTGRAPRTHKKLHTVDLFYLLWEK</t>
  </si>
  <si>
    <t>A0A6J3RSK9</t>
  </si>
  <si>
    <t>MDQPSMAEKAQSEADTDDSDVFSHPSSPTTHHRPGHGGVHRHHRRVSRPHVRFPTMVGFITKVCLTTIETSPTLVALPSTVRPITMAGTTIMKPITTEGLPPWGPTTMMSTSTESTSTVHILVTTSTESTTMGTYSHPAQTSSKVHPQGSSSKTSESWPEEDEQIQKHKTGRAPRTHKKLHTVDLFYLLWEKLSHLMWGLSRMLRKLTDSLAFEAFIVFIVCLNTIMLVAQTFAEVEVRGEWYFMALDSIFLCIYVVEAVLKIIALGLKYFLDPWNNLDFFIMIMAVLEFMLMQINSSSMRVVYNQSIFRIFKVFKSLRALRAIRVLRRLSFLTSLQEVTGTLAQSLPSITAILILMFTCLFLFSVVFRALFRYSDPKRFQNIFTTIFTLFTLLTLDDWSLIYLDSRAQGAWYIIPILMIYIIIQYFIFLNLVIAVLVDNFQMALLKGLEKVKQEKASQVHEKLLDDSLTELMEAEPEEVISGHTIQKQLIEKKFGGMTEKQRELLFHFLQLVSGVEHYQQKFRSQAAVIDEIVDTTFEAGEEDFRK</t>
  </si>
  <si>
    <t>MDQPSMAEKAQSEADTDDSDVFSHPSSPTTHHRPGHGGVHRHHRRVSRPHVRFPTMVGFITKVCLTTIETSPTLVALPSTVRPITMAGTTIMKPITTEGLPPWGPTTMMSTSTESTSTVHILVTTSTESTTMGTYSHPAQTSSKVHPQGSSSKTSESWPEEDEQIQKHKTGRAPRTHKKLHTVDLFYLLWEK</t>
  </si>
  <si>
    <t>Q8NEC5</t>
  </si>
  <si>
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VIYIIIQYFIFLNLVITVLVDSFQTALFKGLEKAKQERAARIQEKLLEDSLTELRAAEPKEVASEGTMLKRLIEKKFGTMTEKQQELLFHYLQLVASVEQEQQKFRSQAAVIDEIVDTTFEAGEEDFRN</t>
  </si>
  <si>
    <t>MDQNSVPEKAQNEADTNNADRFFRSHSSPPHHRPGHSRALHHYELHHHGVPHQRGESHHPPEFQDFHDQALSSHVHQSHHHSEARNHGRAHGPTGFGLAPSQGAVPSHRSYGEDYHDELQRDGRRHHDGSQYGGFHQQSDSHYHRGSHHGRPQYLGENLSHYSSGVPHHGEASHHGGSYLPHGPNPYSESFHHSEASHLSGLQHDESQHHQVPHRGWPHHHQVHHHGRSRHHEAHQHGKSPHHGETISPHSSVGSYQRGISDYHSEYHQGDHHPSEYHHGDHPHHTQHHYHQTHRHRDYHQHQDHHGAYHSSYLHGDYVQSTSQLSIPHTSRSLIHDAPGPAASRTGVFPYHVAHPRGSAHSMTRSSSTIRSRVTQMSKKVHTQDISTKHSEDWGKEEGQFQKRKTGRLQRTRKKGHSTNLFQWLWEK</t>
  </si>
  <si>
    <t>Q91ZR5</t>
  </si>
  <si>
    <t>MDQSSRRDESYHETHPGSLDPSHQSHPHPHPHPTLHRPNQGGVYYDSPQHGMFQQPYQQHGGFHQQNELQHLREFSDSHDNAFSHHSYQQDRAGVSTLPNNISHAYGGSHPLAESQHSGGPQSGPRIDPNHHPHQDDPHRPSEPLSHPSSTGSHQGTTHQQYHERSHHLNPQQNRDHADTISYRSSTRFYRSHAPFSRQERPHLHADHHHEGHHAHSHHGEHPHHKEQRHYHGDHMHHHIHHRSPSASQLSHKSHSTLATSPSHVGSKSTASGARYTFGARSQIFGKAQSRESLRESASLSEGEDHVQKRKKAQRAHKKAHTGNIFQLLWEKISHLLLGLQQMILSLTQSLGFETFIFIVVCLNTVILVAQTFTELEIRGEWYFMVLDSIFLSIYVLEAVLKLIALGLEYFYDPWNNLDFFIMVMAVLDFVLLQINSLSYSFYNHSLFRILKVFKSMRALRAIRVLRRLSILTSLHEVAGTLSGSLPSITAILTLMFTCLFLFSVVLRALFQDSDPKRFQNIFTTLFTLFTMLTLDDWSLIYIDNRAQGAWYIIPILMIYIVIQYFIFLNLVIAVLVDNFQMALLKGLEKVKLEQAARVHEKLLDDSLTDLNKADANAQMTEEALKMQLIEGMFGNMTVKQRVLHFQFLQLVAAVEQHQQKFRSQAYVIDELVDMAFEAGDDDYGK</t>
  </si>
  <si>
    <t>MDQSSRRDESYHETHPGSLDPSHQSHPHPHPHPTLHRPNQGGVYYDSPQHGMFQQPYQQHGGFHQQNELQHLREFSDSHDNAFSHHSYQQDRAGVSTLPNNISHAYGGSHPLAESQHSGGPQSGPRIDPNHHPHQDDPHRPSEPLSHPSSTGSHQGTTHQQYHERSHHLNPQQNRDHADTISYRSSTRFYRSHAPFSRQERPHLHADHHHEGHHAHSHHGEHPHHKEQRHYHGDHMHHHIHHRSPSASQLSHKSHSTLATSPSHVGSKSTASGARYTFGARSQIFGKAQSRESLRESASLSEGEDHVQKRKKAQRAHKKAHTGNIFQLLWEK</t>
  </si>
  <si>
    <t>A0A5F8AND8</t>
  </si>
  <si>
    <t>MDQNSVPEKAQNEADTNNTDTFFRSHSSPPHHRPGHSGALHHHGVPQRRGESHHPPEFEDFHDQAFSSHIHQSQHHSEAWNHGRAHGPTGFGLAPSEGAVPSHHSYGEDYLNELHHAGRRHHDGSQYSGFHQQNDSHSRKESHHGRRQYLGENLSHYSSGVPHHPSEASHHGGSYLPPGANPYSESFHHSEASYLSGLQHNESQHHQVSHHGWSTHHQSHHHGRSHHHEAHQHRRPSHHGQIISPYSSVGSYQHGISDHHSEYPHSEHSHHTQYHHRTHQHRDHHQHRDHHSTHHSSHQYRDYVQSTSQLSIPQTSWSLVHDASGPAASHTGASPHHMAHPQGSAHSMTRSVSTVPSRATQRSKKVHPWDTSTKDSEDWGKEEGRFRRRKTGRLQRTHKKGHSTNLLQWLWEKLTFLIQGFREMIRKVTQSLAFETFIFFIVCLNTFMLVAQTFAEVEIRGEWYFMALDSIFFCIYVVEALLKIIALGLSYFYDFWNNLDFFIMAMAVLDFLLMQTHSFAIYHQSLFRILKVFKSLRALRAIRVLRRLRFLTSVQEVTGTLGQSLPSIAAILILMFTCLFLFSAVLRALFRKSDPKRFQNILTTIFTLFTLLTLDDWSLIYIDSRAQGAWYIIPILIIYIIIQYFIFLNLVITVLVDSFQMALFKGLEKMKQERAARIQEKLLEDSLTELRAAEPKEVASEGTMLKQLIEKKFGTMTEKQQQLLFHYLQLVASVEQQQQKFRSQAAVIDEIVDTTFEDLDDLRTDSLSLGWMSRAPVPMAGGDSGILAYAGCWKPSTE</t>
  </si>
  <si>
    <t>MDQNSVPEKAQNEADTNNTDTFFRSHSSPPHHRPGHSGALHHHGVPQRRGESHHPPEFEDFHDQAFSSHIHQSQHHSEAWNHGRAHGPTGFGLAPSEGAVPSHHSYGEDYLNELHHAGRRHHDGSQYSGFHQQNDSHSRKESHHGRRQYLGENLSHYSSGVPHHPSEASHHGGSYLPPGANPYSESFHHSEASYLSGLQHNESQHHQVSHHGWSTHHQSHHHGRSHHHEAHQHRRPSHHGQIISPYSSVGSYQHGISDHHSEYPHSEHSHHTQYHHRTHQHRDHHQHRDHHSTHHSSHQYRDYVQSTSQLSIPQTSWSLVHDASGPAASHTGASPHHMAHPQGSAHSMTRSVSTVPSRATQRSKKVHPWDTSTKDSEDWGKEEGRFRRRKTGRLQRTHKKGHSTNLLQWLWEK</t>
  </si>
  <si>
    <t>A0A2Y9FSN0</t>
  </si>
  <si>
    <t>MAEKAQSEADTDDSDVFSHPSSPTTHHRPGHGGVHHHHQRVSRPHGEAHHHGISPHRGGSQDFHDNAFSRHCHRSEPYYHRDFSHSGSPAQHSEAQHHGGHHHHEARHNRRPASMGSYHHDEHLHGHRDERHHRERQRGARPRDDLHRDHRYGEYRRGSSELFGPYTSHSVASASLGSAYSRQVAPQPSKPDRQSSAFSLARSLNTVRSHPAQTSSKVHPQGSSSKTSESWPEEDEQIQKHKTGRAPRTHKKLHAVDLFYSLWEKLSHLIWGLSRMLRKLTDSLAFEAFIVFIVCLNTIMLVAQTFAEVEVRGEWYFMALDSIFLCIYVVEAVLKIIALGLKYFLDPWNNLDFFIMVMAVLEFMLLQANSSSMRVVYNQSIFRIFKVFKSLRALRAIRVLRRLSFLTSLQEVTGTLARSLPSIAAILILMFTCLFLFSVVLRALFRYSDPKRFQNIFTTIFTLFTLLTLDDWSLIYLDSRAQGAWYIIPILMIYIIIQYFIFLNLVIAVLVDNFQMALLKGLEKVKQEASQIHEKLLDDSLTELIEAEPKEVISEHTIQKQLLEKKFGGMTEKQQELLFHFLQLVSGVERYQQKFRSQAAVIDEIVDTAFEAGEEDFRK</t>
  </si>
  <si>
    <t>MAEKAQSEADTDDSDVFSHPSSPTTHHRPGHGGVHHHHQRVSRPHGEAHHHGISPHRGGSQDFHDNAFSRHCHRSEPYYHRDFSHSGSPAQHSEAQHHGGHHHHEARHNRRPASMGSYHHDEHLHGHRDERHHRERQRGARPRDDLHRDHRYGEYRRGSSELFGPYTSHSVASASLGSAYSRQVAPQPSKPDRQSSAFSLARSLNTVRSHPAQTSSKVHPQGSSSKTSESWPEEDEQIQKHKTGRAPRTHKKLHAVDLFYSLWEK</t>
  </si>
  <si>
    <t>G1P711</t>
  </si>
  <si>
    <t>LGEKDKPAKAQNETDTSDLDVPSQPSSSTTHHRPRHSGAHRHLRPHGRRRHGVSHHRGESHLDSPDSAFSRHSPNPSTTLASNGSHATDLSHHTYEKVPIHDEHRRGSRRHHGRPQHVSESYHPRGSHHHGGLHHEGEPSLSKDGASSELGESHHSDAYDHGKRHHHITHHHRRPLHHGESSSHHGISPDPSEHHRGHYSDHHHGHRGHPGEHHRRELRHGEHPSVSSRDLHTGLSVAGVSSIFLPTTARKQSTAISLTRSHSAVRSRASKSSSRVHPLESLSRISESLTEDEEVQMHKNNKTSRGHKKAHSGNFCSKLCENCCSHLFVLRKMLSVLTQSLFFDAFIFIVVCLNIIMLVAQTFAVVEVRGAWYFMVFDSIFLSVYVVEALLKIISMGLDYFYDSWNILDFFIVAMAALEFTLVQLNSRSFQRTIYNPNFFRIFKVFRSLRALRAVRVLKRLSFLTSLQEVTGTLVRSMPSITAILVLMSTCLFLFSVVLRGLFRQSDPKRFQNIFTTIFTLFTLLTLDDWSQIYVDSRANGAGYIIPILMIYIIIQYFIFLNLVIAVLVDNFQMALLRGLEKVKQERAAQIQAKLLTESLMKLNESEPEQVLSEHSKQKLLIEKKFGAMTTKQQELLFHFLQLATAVEHYQQKFRSQASVIDEIVDTVFEAGEDDFRK</t>
  </si>
  <si>
    <t>LGEKDKPAKAQNETDTSDLDVPSQPSSSTTHHRPRHSGAHRHLRPHGRRRHGVSHHRGESHLDSPDSAFSRHSPNPSTTLASNGSHATDLSHHTYEKVPIHDEHRRGSRRHHGRPQHVSESYHPRGSHHHGGLHHEGEPSLSKDGASSELGESHHSDAYDHGKRHHHITHHHRRPLHHGESSSHHGISPDPSEHHRGHYSDHHHGHRGHPGEHHRRELRHGEHPSVSSRDLHTGLSVAGVSSIFLPTTARKQSTAISLTRSHSAVRSRASKSSSRVHPLESLSRISESLTEDEEVQMHKNNKTSRGHKKAHSGNFCSKLCEN</t>
  </si>
  <si>
    <t>A0A9L0SJQ9</t>
  </si>
  <si>
    <t>MAGKAHNEADISDLDMLSRPSSSTPHHRPGHSGGHNLHESHPHSVSHHHGESHLHDISHHPGGSHHLGDSPDFKDNAFSRHSHHSPHPPHSPHTPHHGEAHHHGRAHYPTTLVLEPSHGAHGAHSYGEDHFDDEHHHGSRRVQHGESYHHGGPHRGESYHHGGPHRGESYHRRGPHRGESYHRRGPHRGESYHRGRSHRGEPHHRGGPHHHGEPHLRWGPHHYGGSHLHANPLHHGESYHRGGPHHHSEAYHHGGPHHDVAHHHGGHSPHEAHHHRRPLHHGEAYSHHSYVEPYHDDIPGYISEHHRGHHDEHHHKEHHHGEHHHGEHHHGHHGEHQHREHHHGAHPHDYLQGDHHYGGHHHGGSEVFGPHKSYSMARASLDSTHSYASARQPSIGHIQNLMRSRSMIHIPGAQVSSKVHPQDSSSKSSESWAEEDEQFQKRKAGRTQRPHKKLHTLYLCYWLWEKLSYFIQDLRRMLRNLIESLAFEAFIFLVVCLNTIMLVVQTFAEVEIRGEWYFMALDSIFLCIYVVEALLKIMALGVNYFYNSWNNLDFFIMVMAVLDFMLMQLNYLSSRTFYHQSFRIFKVFKSLRALRAIRVLRRLSFLTSLQEVTGTLARSLPSITAILILMFTCLFLFSVVLRALFRQSDPKRFQNIFTTIFTLFTLLTLDDWSLIYLDSRAQGAWHIIPILMIYIIIQYFIFLNLVIAVLVDNFQMALLRGLEKVKQERAAWIHEKLLDDSLTELRKAEPVEEMSEHTKQKQLMEKKFGTMTEKQQEVLFHFLQLVAGVEHYQQKFRSQASVIDEIVDTTFEAGEEDFRK</t>
  </si>
  <si>
    <t>MAGKAHNEADISDLDMLSRPSSSTPHHRPGHSGGHNLHESHPHSVSHHHGESHLHDISHHPGGSHHLGDSPDFKDNAFSRHSHHSPHPPHSPHTPHHGEAHHHGRAHYPTTLVLEPSHGAHGAHSYGEDHFDDEHHHGSRRVQHGESYHHGGPHRGESYHHGGPHRGESYHRRGPHRGESYHRRGPHRGESYHRGRSHRGEPHHRGGPHHHGEPHLRWGPHHYGGSHLHANPLHHGESYHRGGPHHHSEAYHHGGPHHDVAHHHGGHSPHEAHHHRRPLHHGEAYSHHSYVEPYHDDIPGYISEHHRGHHDEHHHKEHHHGEHHHGEHHHGHHGEHQHREHHHGAHPHDYLQGDHHYGGHHHGGSEVFGPHKSYSMARASLDSTHSYASARQPSIGHIQNLMRSRSMIHIPGAQVSSKVHPQDSSSKSSESWAEEDEQFQKRKAGRTQRPHKKLHTLYLCYWLWEK</t>
  </si>
  <si>
    <t>Full Sequence Length</t>
  </si>
  <si>
    <t>NT Sequence Length</t>
  </si>
  <si>
    <t># His</t>
  </si>
  <si>
    <t># Tyr</t>
  </si>
  <si>
    <t># Arg</t>
  </si>
  <si>
    <t>XP_051710737.2</t>
  </si>
  <si>
    <t>MSEKGQNEADPDGGGVFTRPHSSPPQHRPGHGGALRHHESHHHWGASQHRGLARPHGGPRHPREFQDNQDDRAFSHHAPREAHHPTSLGLSPSRSIAPSHHSYSEDSSDDDQYHGNRVHHHHAESSPHGGRQHLTVPPPYSGPHHHAEPDPHGGPHLLTVPPHHGGPHHHTEPGHHGGPHHHTEPGHHGGPHHHAVSDHHGGPHHHAEPDPHGGPQHLTVPPYHGGPQHHTEPDPHGGPQHLTVPSHHGGPHRHTEPPHHGGPHRHAEPPHHGGSHRHAEPDPHGGPHRHAEPDPHGGPHRHTEPSHHGGPHHHAEPPHHGGPHRHVEDGHRGGLPHHGEPSYREEFHHKHARPHHHDSSPHRRHPRYGDNVSRTSLDGSSHHGTPHHREHHAPEHPHGEWPHHRSKHQRPRQPDDHPHSDPRHRDYLWSPSDQSVPGTSQGSSSLSHPATPHAHVHRWSSGHSTAPSHVAGSSKVEFSQESTSKDSESYTEDNEQLRKRKTRRTPRSRKKLQLENCFQWWYEKLIVLFHGLQRMLWKLTHCLAFETFIFLVVCLNTIMLVAQTFAEVEIRGEWHFLILDCIFLCIYMVEALLKIIALGFSYFHDFWNNLDFCIMMVAVLDFTLMQLNPLSYSFYHQSLFRILKVFKSMRALRAIRVLRRLSFLTSLHEVTGTLARSLPSITAILVLMFTCLFLFSVVLRALFRKSDPKRFQNIFSTLFTLFTMLTLDDWSLIYMDNRAQGAWYIIPILMVYIIIQYFIFLNLVIAVLVDNFQMALLKGLEKVRQERAARIQENLLDDSLTELRQAEPKEIRSEGTMQKQLLEKKFGTLTENSCSWWPAWSSSSRSSAPRRPSSMRSWTPPSRPEKRTSGSEPAGGHDTWTSASPSCPARGRRDGSQICWHDCPGPAGPGRASQQSQQGFSPSGCACPHWPGRGRVTQAEGQAQGRLRWEARYARNLPGGQEPRNRLAQRRIVRVLGPRHGGAQSPGTRACQDPRSSVRCCSPGISRTQRSEVMVSPCPAWA</t>
  </si>
  <si>
    <t>MSEKGQNEADPDGGGVFTRPHSSPPQHRPGHGGALRHHESHHHWGASQHRGLARPHGGPRHPREFQDNQDDRAFSHHAPREAHHPTSLGLSPSRSIAPSHHSYSEDSSDDDQYHGNRVHHHHAESSPHGGRQHLTVPPPYSGPHHHAEPDPHGGPHLLTVPPHHGGPHHHTEPGHHGGPHHHTEPGHHGGPHHHAVSDHHGGPHHHAEPDPHGGPQHLTVPPYHGGPQHHTEPDPHGGPQHLTVPSHHGGPHRHTEPPHHGGPHRHAEPPHHGGSHRHAEPDPHGGPHRHAEPDPHGGPHRHTEPSHHGGPHHHAEPPHHGGPHRHVEDGHRGGLPHHGEPSYREEFHHKHARPHHHDSSPHRRHPRYGDNVSRTSLDGSSHHGTPHHREHHAPEHPHGEWPHHRSKHQRPRQPDDHPHSDPRHRDYLWSPSDQSVPGTSQGSSSLSHPATPHAHVHRWSSGHSTAPSHVAGSSKVEFSQESTSKDSESYTEDNEQLRKRKTRRTPRSRKKLQLENCFQWWYEK</t>
  </si>
  <si>
    <t>MAHLTMANATTGSTSTAHILMITPTEITTVGTVFQHSKPDRKSSAFTLAGSLSTVNSHPSETSNKVYPQDSSSKTSESCPEEDEHVQKRKVGRAPQAHKKVHSSDLCWLWEELSQLIWGLRRMLRKLVDSLAFETFIIFIVCLNTIMLVAQTFAEVEVRGEWYFMAFDYIFLSIYIVEAVLKIIALGLAYFLDPWNNLDFFIMVVGVLDFVLIQVNSSSTRAIHNQRVFRIFRVFKTLRALRAIRVLRRLRFLTNLQEVTGTLARSLPSITAILILMFTCLVLFSVVLRALFHYSDPKRFQNIFSTIFTLFTMLTLDDWSLIYLDSRAQGAWYIIPILMIYIIIQYFIFLNLVIAVLVDNFQMALLKGLEKVKQEAAELHEELLDDSVTKLMEAEPKEVLSEHTIEKQLIEKKFGAMTEKQLETLFHFLQLVAGVEHYQLKFRSQAAVIDEIVDTTFEAGEEDFRK</t>
  </si>
  <si>
    <t>XP_068832557.1</t>
  </si>
  <si>
    <t>MAHLTMANATTGSTSTAHILMITPTEITTVGTVFQHSKPDRKSSAFTLAGSLSTVNSHPSETSNKVYPQDSSSKTSESCPEEDEHVQKRKVGRAPQAHKKVHSSDLCWLWEE</t>
  </si>
  <si>
    <t>Uniprot/NCBI</t>
  </si>
  <si>
    <t>XP_032735402.1</t>
  </si>
  <si>
    <t>MDQPSLAEKAHNEADTNNLDVLSHPDSPTSYHRPRHSRVHHHHGVSHHHGGSHHHSESHHHGGSHHHSTSRHHSESDHHGVSHHHGISHHLGKFQDFHDNTHSHHSPHSHHSHHSHHSHHHGEAHHHGRAYNHTSFALAPSQSTIYSHHSLGEGPFDGEYHHGSRRHHGRPHHQGEPHHQGGSHYHRGSYHHGRSHHHGEPYDHGESHHRGEPYHHGGSSHRGESYHHGGSHHHARPHHHSEVSHHSGLHYQGEPYYHKDSYTYGGSQPHGESYHHGRHRHHEAHHHRGPLHHGETFSHHSYVDSYHDQLIPHYSDEYSHHHHGHHGERHHGHHGHHGERHHGHHGHHGEHHHREYHRSVHRYDYLHDNHRYREYYHGSSHSLGPYKSHCVARAVLGPSRSYSAILRPSMARVQHSAFSLTRSHSAVHSHASQMSSKVHPQDSSTKTSSESWTEENEQFQKRKTARAQRAHKRLHTMDLFSRLWENLSYLIQDFRRMLRKLTQSLPFEAFIFLVVCLNTIMLVAQTFAEVEIRGEWYFMAFDSIFLCIYVVEAALKITALGFKYFSDPWNNLDFFIMIMAMLDFLLFQYNSFSFVYHQSVFRIFKVFKSLRALRAIRVLRKLSFLTSLQEVTGTLVRSLPSITAILILMFTCLFLFSVVLRALFRHSDPKRFRSILSTIFTLFTMLTLDDWSLIYLDSRAQGAWYIVPILMIYIIIQYFIFLNLVIAVLVDNFQMALLQGLEKLKQERAAWIREKILDDSLTELSRSDPEEMVSEHTRQKQLIEKKFGTMTEKQQELLFHFLQLVAGVEHHQQKFRSQASVLDEIVDTAFEAGEEDFRK</t>
  </si>
  <si>
    <t>MDQPSLAEKAHNEADTNNLDVLSHPDSPTSYHRPRHSRVHHHHGVSHHHGGSHHHSESHHHGGSHHHSTSRHHSESDHHGVSHHHGISHHLGKFQDFHDNTHSHHSPHSHHSHHSHHSHHHGEAHHHGRAYNHTSFALAPSQSTIYSHHSLGEGPFDGEYHHGSRRHHGRPHHQGEPHHQGGSHYHRGSYHHGRSHHHGEPYDHGESHHRGEPYHHGGSSHRGESYHHGGSHHHARPHHHSEVSHHSGLHYQGEPYYHKDSYTYGGSQPHGESYHHGRHRHHEAHHHRGPLHHGETFSHHSYVDSYHDQLIPHYSDEYSHHHHGHHGERHHGHHGHHGERHHGHHGHHGEHHHREYHRSVHRYDYLHDNHRYREYYHGSSHSLGPYKSHCVARAVLGPSRSYSAILRPSMARVQHSAFSLTRSHSAVHSHASQMSSKVHPQDSSTKTSSESWTEENEQFQKRKTARAQRAHKRLHTMDLFSRLWEN</t>
  </si>
  <si>
    <t>XP_044234306.2</t>
  </si>
  <si>
    <t>MDQPLLAEKAQNEADTDDLDVSSQPGSPTPHHRPGHSGVNHHHGYHHHGVSHHHALSSRIPLVRALLMVSTTMVAEDIMIGPTTMVSPTTMRGPTTMVSPTTMRGPTTVVSPTTMMGLTTVGNPTTMVGLTTLMRFPTIVGSITKVSLPTRMVALTIMVRPITMVGTIIMKPTTIEGPFIMERPFPAIPMWTPTMITYLTTMTTTATTVSTTMATAVNTTMATMATMASTTMATMESTVTGSTTIMGIITIISMVIIAMGIALQPSMVQVQHSAFSVTRTRSAVHSHATQASSKVHPQHSSSKTSSESWAEEDEQFQKRKTARAQRAHKRLHTMDLFYWLWEKLSYLIQGLRRMLRNLTQSLPFEAFIFLVVCLNTLMLVVQTFAEVEIRGEWYFMALDSIFLCIYVVEAVLKITALGFKYFSDPWNNLDFFIMIMAMLDFLLLQYNSFSFVYHQSVFRIFKVFKSLRALRAIRVLRRLSFLTSLQEVTGTLVRSLPSITAILILMFTCLFLFSVVLRALFRHSDPKRFQSILSTIFTLFTLLTLDDWSLIYLDSRAQGAWYIIPILMIYIIIQYFIFLNLVIAVLVDNFQMALLKGLEKEKQERAARIHEKLLDDSLTELSKSDPEEVVSEHTKQKQLIEKKFGTMTEKQQELLFHFLQLVAGVEHHQQKFRSQASVLDEIVDTAFEAGEEDFRK</t>
  </si>
  <si>
    <t>MDQPLLAEKAQNEADTDDLDVSSQPGSPTPHHRPGHSGVNHHHGYHHHGVSHHHALSSRIPLVRALLMVSTTMVAEDIMIGPTTMVSPTTMRGPTTMVSPTTMRGPTTVVSPTTMMGLTTVGNPTTMVGLTTLMRFPTIVGSITKVSLPTRMVALTIMVRPITMVGTIIMKPTTIEGPFIMERPFPAIPMWTPTMITYLTTMTTTATTVSTTMATAVNTTMATMATMASTTMATMESTVTGSTTIMGIITIISMVIIAMGIALQPSMVQVQHSAFSVTRTRSAVHSHATQASSKVHPQHSSSKTSSESWAEEDEQFQKRKTARAQRAHKRLHTMDLFYWLWEK</t>
  </si>
  <si>
    <t>XP_064432657.1</t>
  </si>
  <si>
    <t>MGTITTVCPSTMVSPTIMTYPTIMAGPTIMEHPIITVSPTIMVDLTTLMNSKTFMTMPPPTIPPTPTILPTPITPTTPITMVRPTNLVEPTISHPLPWLLLIALSSPIILLVRAPLMVSTTMVVEDIMVGPTTMVSPITMGGPTTTGGPTTTVSPTTMVSHHSGLHHQGEPYYHKDSYTYGGPHHHSEAHHHGRHHHHEAHHHRGPLHHGEPSSHHEHHHGHHSKHHHGHHSEHHHREHHHGEHHHSVHRYDYLHGDHRYREYHHGSSQVFGSHKSHSVARASFGSSFSHSVALQPSMVQAQRSAFSLTRSHSAVRSHASQGSSKVHPQDSSSKTSSESWVEEDEQFQKRKTTRAQRAHKRLHTVDLFYRLWEKLSYLIKGLRRMLRKLTQSLPFETFIFLVVCLNTTMLVAQTFAEVEIRGEWFFMALDSIFLCIYVVEAALKITALGFKYFSDSWNDLDFFIMIMAMLDFMLLQYNSSSFVYHQSVFRIFKVFKSLRALRAIRVLRRLSFLTSLQEVTGTLARSLPSITAILILMFTCLFLFSVVLRALFRHSDPKRFRSILSTIFTLFTMLTLDDWSLIYLDSRAQGAWYIIPILMIYIIIQYFIFLNLVIAVLVDNFQMALLKGLEKVKQERAARIHEKLLDDPLTELSKSDPEEVVSEHTKQKQLIEKKFGTMTEKQRELLFHFLQLVAGVEHHQQKFRSQASVLDEIVDAAFEAGEEDFRK</t>
  </si>
  <si>
    <t>MGTITTVCPSTMVSPTIMTYPTIMAGPTIMEHPIITVSPTIMVDLTTLMNSKTFMTMPPPTIPPTPTILPTPITPTTPITMVRPTNLVEPTISHPLPWLLLIALSSPIILLVRAPLMVSTTMVVEDIMVGPTTMVSPITMGGPTTTGGPTTTVSPTTMVSHHSGLHHQGEPYYHKDSYTYGGPHHHSEAHHHGRHHHHEAHHHRGPLHHGEPSSHHEHHHGHHSKHHHGHHSEHHHREHHHGEHHHSVHRYDYLHGDHRYREYHHGSSQVFGSHKSHSVARASFGSSFSHSVALQPSMVQAQRSAFSLTRSHSAVRSHASQGSSKVHPQDSSSKTSSESWVEEDEQFQKRKTTRAQRAHKRLHTVDLFYRLWEK</t>
  </si>
  <si>
    <t>XP_072495261.1</t>
  </si>
  <si>
    <t>MNYLTVPEEIRREAELPPPPPVTPVAPTTVVPVTPPTKPSHSKHSSKVSHPSWGRVSLKSKPSRSSSRIQPSYTSMGQTWEFDHHSRSRKTRVQHAHKKQMAADELLHKCCGKILQGFCHARSMLAVMVESLTFEIFIFIVVCFNTIVLVVQTFAEVEVWGEWYFTALDSIFLSIYFMEALLKITVLGLGYFDYWNGLDFFIMLMAAADFLLKQMYFSSSTRMAHSKTVFRILKIFKSLRALRAIMVLRRLSFLNSLQEVTGTLARSLPSIGAILVLMFTCLFFFSVILRALFNSSDPKRFQNIFTTIFTLFTMLTLDDWSLIYLDSRAKGAWYIIPILMIYIIIQYFIFLNLVIAVLVDNFQMALLKGLEKEKQKKVARMREKLLDESLTNLGAEHEEMISDSSLQMQIIEKKYGDLTPKQQDRMFHYLQLMAAVEHHQQVFRSQAAVIDEIIDTVFEAGEEDFKK</t>
  </si>
  <si>
    <t>MNYLTVPEEIRREAELPPPPPVTPVAPTTVVPVTPPTKPSHSKHSSKVSHPSWGRVSLKSKPSRSSSRIQPSYTSMGQTWEFDHHSRSRKTRVQHAHKKQMAADELLHKCCGK</t>
  </si>
  <si>
    <t>XP_003419462.1</t>
  </si>
  <si>
    <t>MDQHSMLEKAHNEADTTNLDVVPGPHSLSPHHRPGHGGVHHHHESHPHSVSPHHGEYHHHGEFHDLSDNVFSRHSHHHSEAHYNGRAYHPYGGVHQPRDKVQPLNLNLSQGLFPSLHSYGEDHSHHTDSEYHHGNRMYCHSDSHPHSGSHRHSASHHHSGSHHRSGSHSHGGSPHHSGSHYHGENLSHHPYGGYYHHGRLRRHSEAYCHGEAHQDETHHRDEPYRDKESDHSGDLRHRGRFHHREGYHHGRPSHHEEAYSHQSNGGSYYSGSHHPHGEHYPGEYHPSEYHRGKRPHHGEHHHRGERFYHGGHHHGQHRHAEPHYREHLQSPQTYVDYPHQHRYGDYLNGASQLSGTYSSYSRAIPSISSVTALHHGMPRTEHSGDAQAHSAIHSSGSQASSKVHPQATSTPEMESWSEDKQFQKRKTPRIQRTHKRLHAGDLSHWLCEKLSHFIHWLRKRLQYLIKSLAFEAFIFLIICLNTIMLVVQTFAEVEVRGEWYFMAMDSIFFCIYIVEAMLKIIALGFKYFSDSWNNLDFFIMVMAVLDFLLVQLNSSFSRSVYKQSIYRVLKVLKSLRALRAIRVLLRFSILTSLQEVTGTLARSLPSITAILILMFTCLFLFSVVLRALFRQSDPKRFRNIFTTIFTLFTMLTLDDWSLIYLDSRAQGAWYIIPILMIYIVIQYFIFLNLVIAVLVDNFQMALLKGLEKVKLERAARIREKLLDDSLTELSKAEAEEKMSEETMRKQLIEKKFGNMTEKQKKLLFHFLQLGAGVEHHQQKFRSQACVIDEIVDTTFEAGEEDFRK</t>
  </si>
  <si>
    <t>MDQHSMLEKAHNEADTTNLDVVPGPHSLSPHHRPGHGGVHHHHESHPHSVSPHHGEYHHHGEFHDLSDNVFSRHSHHHSEAHYNGRAYHPYGGVHQPRDKVQPLNLNLSQGLFPSLHSYGEDHSHHTDSEYHHGNRMYCHSDSHPHSGSHRHSASHHHSGSHHRSGSHSHGGSPHHSGSHYHGENLSHHPYGGYYHHGRLRRHSEAYCHGEAHQDETHHRDEPYRDKESDHSGDLRHRGRFHHREGYHHGRPSHHEEAYSHQSNGGSYYSGSHHPHGEHYPGEYHPSEYHRGKRPHHGEHHHRGERFYHGGHHHGQHRHAEPHYREHLQSPQTYVDYPHQHRYGDYLNGASQLSGTYSSYSRAIPSISSVTALHHGMPRTEHSGDAQAHSAIHSSGSQASSKVHPQATSTPEMESWSEDKQFQKRKTPRIQRTHKRLHAGDLSHWLCEK</t>
  </si>
  <si>
    <t>XP_006893479.1</t>
  </si>
  <si>
    <t>MDQHETLTKAPDEADVPGPSSSSQHHHRPRHQDPTPTVGGTITSVRPILMPALTIVNRTTKMNTPPNPTTLGTHVTLPRPTTTVGSTITTGPVTTKGLSTTERSVPTSPPTVIRLLSNTPASPTPVSIPTTPSVSTTARPRIESSAPLSPSSSALKSSGKPKYPHHTPDHLQTAQAFNKVHPLAAFSPSTATRRTEEQFLKHKQPRNQHLHRRLRSEGLSQLLCKNLCNCIQWLRKRILFLVDSLAFEIFIFLIITLNTIMMVAQTFAEVEIRGEWYFTAIDTLFLSIYVVEAMLKIIALGFSYFSDPWNKLDFFIMLTSALDFTLAQLKHTLSHSIFNQNIFRIFKVLKSLRALRAIQVLRSFRILRNLQEVTETLAGSLPSITAILILMFTCLLLFSVVLRALFRHSDPKRFQNIFTTVFTLFIMLTLDDWSYIYLDSWAQGAWYIVPILMIYIIIQYFIFLNLVIAVLVDNFQMALLRGLEKEKLERAARTQEKLLDDSMTELNKADAEEMSEDVLHNQLMEKKFGDMTDKQKELLFHFLQLVAGVEHLQLKFRSQACVIDEIVDTTFEAGEEDFRK</t>
  </si>
  <si>
    <t>MDQHETLTKAPDEADVPGPSSSSQHHHRPRHQDPTPTVGGTITSVRPILMPALTIVNRTTKMNTPPNPTTLGTHVTLPRPTTTVGSTITTGPVTTKGLSTTERSVPTSPPTVIRLLSNTPASPTPVSIPTTPSVSTTARPRIESSAPLSPSSSALKSSGKPKYPHHTPDHLQTAQAFNKVHPLAAFSPSTATRRTEEQFLKHKQPRNQHLHRRLRSEGLSQLLCKN</t>
  </si>
  <si>
    <t>XP_027712010.1</t>
  </si>
  <si>
    <t>MPSCCELSCLTDSDRTRAPARFVTKNLRAPIGDPTPWHHHCPEPDLSPALAARVQRVRKKQMAADELLQKCCGKIFEGLRHIQSMLAVMVESLVFEIFIFTVVCFNTMVLVVQTFAEVEIWGEWYFAALDSVFLSIYFMESVLKILIMGLGYFDSWNSLDFFILVMAAMDFMLKQFYFSSANRMAHSKTVFRILKIFKSLRALRVIMVLRRLSFLNSLQEVTGTLARSLPSIGAILVLMFTCLFFFSVILRALFNYSDPKRFQNIFTTIFTLFTLLTLDDWSLIYLDSRAKGAWYIIPILMIYIIIQYFIFLNLVIAVLVDNFQTALLKDLEKEKQKKVARMHEKLLDESLTNLDTETEETMSDTSLQAHIIEKKYGDLTSTQQDKMFHYLQLMAAVEHHQQVFRSQAAVIDEIIDTVFEAGEEDFKK</t>
  </si>
  <si>
    <t>MPSCCELSCLTDSDRTRAPARFVTKNLRAPIGDPTPWHHHCPEPDLSPALAARVQRVRKKQMAADELLQKCCGK</t>
  </si>
  <si>
    <t>XP_028565661.2</t>
  </si>
  <si>
    <t>MDHRYLTVPAMSSVPQMEKMLQVPTQEPGQAQGAGTGMPGTSSLGPGYSPSARPEPSMVLAVTSISPSLKGSRQYRRRFSNQSSRSRRSSKNAPGGIRVKTKPARQRRKRKHRRMTITEMVVYAWQKIYPHLVLLRKIIYDLTQSFIFDFIICSVVAINTVLLVAQTFAVVEIRGEWFFSAMDPAFLSVYVLEAVLKLIALGCEYFRDPWNDIDFFIMCMTVLDFLLPLLISSRQGNRGNKLTLFRVLKICKAVRAIRAIRFLLTLRVMQNLKEVTSTFLLSCESIGAIILLMFSFLFMSSVVLRDMFHEADEKHFGDLFNSIFTLFQLFTLDDWSLIYLTCQEAGAWYIIIFLIIYILVEYFLLLNLVIAVLVDNFQMALVKRQELKRQKKWVELKESSIADDVFGKAAADKPQAKEEKEEELFRRTVMGKYGSLELMDREWEYLYFYFRLMTAIETNQQQFQSQASTTDKILDTFFETAEHDYLSK</t>
  </si>
  <si>
    <t>MDHRYLTVPAMSSVPQMEKMLQVPTQEPGQAQGAGTGMPGTSSLGPGYSPSARPEPSMVLAVTSISPSLKGSRQYRRRFSNQSSRSRRSSKNAPGGIRVKTKPARQRRKRKHRRMTITEMVVYAWQK</t>
  </si>
  <si>
    <t>XP_028915367.1</t>
  </si>
  <si>
    <t>MDYLTVPDAGPPRDGEQAGLSAAASQKPQSQSSFVGVHSATPHPPAYRPSRSPSVFSRSQYGFRGNRSGSQPTLLIHSRRVGSRDNGAPSYVYQRGQDPWSQKRMLHKLLALMTMKLDKLRQLFKKLIQSPFFEAFVLSVVSINAMVLVAQTFAEVEIRGEWYFTAADSVFLSIYLLEAALKLIALGSSYFHNYWNNLDFFITIMALLDFVLPQIYNAMTIRHAGTNTFRVLKVFKGVRALRTFWVLRRLRFLNSLQEVTGTLARSLASIGAILVLMFICLFLFSVILRALFRNTDPKRFQSLFTTLFTLFTMLTLDDWSLIYMDSRAKGAWFIVPILMVYIIIQYFIFLNLVVAVLVDNFQMELLKGLEKEKQEKAARLQEKLLEDSLTKLKETDKQEEMHKITVQDQIEKEMKGLTERQQQLHLMFLQLIAGVEVQQQQFRSQTAITDEIVDTVFEAGEEDLKR</t>
  </si>
  <si>
    <t>MDYLTVPDAGPPRDGEQAGLSAAASQKPQSQSSFVGVHSATPHPPAYRPSRSPSVFSRSQYGFRGNRSGSQPTLLIHSRRVGSRDNGAPSYVYQRGQDPWSQKRMLHKLLAL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</si>
</sst>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6"/>
      <color theme="1"/>
      <name val="Arial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2" fillId="0" borderId="0" xfId="0" applyNumberFormat="1" applyFont="1"/>
    <xf numFmtId="0" fontId="2" fillId="0" borderId="0" xfId="0" applyFont="1" applyAlignment="1"/>
    <xf numFmtId="0" fontId="2" fillId="2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4B56-642D-A24E-8FDD-9C514CDAF49A}">
  <sheetPr filterMode="1"/>
  <dimension ref="A1:T48"/>
  <sheetViews>
    <sheetView tabSelected="1" zoomScale="83" workbookViewId="0">
      <pane ySplit="1" topLeftCell="A2" activePane="bottomLeft" state="frozen"/>
      <selection pane="bottomLeft" activeCell="P38" sqref="P38"/>
    </sheetView>
  </sheetViews>
  <sheetFormatPr baseColWidth="10" defaultRowHeight="16" x14ac:dyDescent="0.2"/>
  <cols>
    <col min="2" max="2" width="22.33203125" bestFit="1" customWidth="1"/>
    <col min="3" max="3" width="20.1640625" bestFit="1" customWidth="1"/>
    <col min="4" max="4" width="20.1640625" customWidth="1"/>
    <col min="10" max="10" width="15.1640625" bestFit="1" customWidth="1"/>
    <col min="16" max="16" width="10.83203125" style="2"/>
  </cols>
  <sheetData>
    <row r="1" spans="1:20" x14ac:dyDescent="0.2">
      <c r="A1" s="1"/>
      <c r="B1" s="1" t="s">
        <v>195</v>
      </c>
      <c r="C1" s="1" t="s">
        <v>196</v>
      </c>
      <c r="D1" s="1" t="s">
        <v>354</v>
      </c>
      <c r="E1" s="5" t="s">
        <v>0</v>
      </c>
      <c r="F1" s="1" t="s">
        <v>1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355</v>
      </c>
      <c r="M1" s="1" t="s">
        <v>419</v>
      </c>
      <c r="N1" s="1" t="s">
        <v>359</v>
      </c>
      <c r="O1" s="1" t="s">
        <v>408</v>
      </c>
      <c r="P1" s="1" t="s">
        <v>361</v>
      </c>
      <c r="Q1" s="1" t="s">
        <v>409</v>
      </c>
      <c r="R1" s="1" t="s">
        <v>410</v>
      </c>
      <c r="S1" s="1" t="s">
        <v>411</v>
      </c>
      <c r="T1" s="1" t="s">
        <v>412</v>
      </c>
    </row>
    <row r="2" spans="1:20" hidden="1" x14ac:dyDescent="0.2">
      <c r="A2" s="2" t="s">
        <v>2</v>
      </c>
      <c r="B2" s="3" t="s">
        <v>3</v>
      </c>
      <c r="C2" s="2" t="s">
        <v>4</v>
      </c>
      <c r="D2" s="2">
        <v>7</v>
      </c>
      <c r="E2" s="6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4" t="s">
        <v>11</v>
      </c>
      <c r="L2" s="2" t="s">
        <v>356</v>
      </c>
      <c r="M2" s="2" t="s">
        <v>356</v>
      </c>
      <c r="O2">
        <f>LEN(N2)</f>
        <v>0</v>
      </c>
      <c r="Q2">
        <f>LEN(P2)</f>
        <v>0</v>
      </c>
      <c r="R2">
        <f>LEN(P2)-LEN(SUBSTITUTE(P2,"H",""))</f>
        <v>0</v>
      </c>
      <c r="S2">
        <f>LEN(P2)-LEN(SUBSTITUTE(P2,"Y",""))</f>
        <v>0</v>
      </c>
      <c r="T2">
        <f>LEN(P2)-LEN(SUBSTITUTE(P2,"R",""))</f>
        <v>0</v>
      </c>
    </row>
    <row r="3" spans="1:20" hidden="1" x14ac:dyDescent="0.2">
      <c r="A3" s="2" t="s">
        <v>12</v>
      </c>
      <c r="B3" s="3" t="s">
        <v>13</v>
      </c>
      <c r="C3" s="2" t="s">
        <v>14</v>
      </c>
      <c r="D3" s="2">
        <v>6</v>
      </c>
      <c r="E3" s="6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4" t="s">
        <v>21</v>
      </c>
      <c r="L3" s="2" t="s">
        <v>356</v>
      </c>
      <c r="M3" s="2" t="s">
        <v>356</v>
      </c>
      <c r="O3">
        <f t="shared" ref="O3:O48" si="0">LEN(N3)</f>
        <v>0</v>
      </c>
      <c r="Q3">
        <f t="shared" ref="Q3:Q48" si="1">LEN(P3)</f>
        <v>0</v>
      </c>
      <c r="R3">
        <f t="shared" ref="R3:R48" si="2">LEN(P3)-LEN(SUBSTITUTE(P3,"H",""))</f>
        <v>0</v>
      </c>
      <c r="S3">
        <f t="shared" ref="S3:S48" si="3">LEN(P3)-LEN(SUBSTITUTE(P3,"Y",""))</f>
        <v>0</v>
      </c>
      <c r="T3">
        <f t="shared" ref="T3:T48" si="4">LEN(P3)-LEN(SUBSTITUTE(P3,"R",""))</f>
        <v>0</v>
      </c>
    </row>
    <row r="4" spans="1:20" hidden="1" x14ac:dyDescent="0.2">
      <c r="A4" s="2" t="s">
        <v>8</v>
      </c>
      <c r="B4" s="3" t="s">
        <v>22</v>
      </c>
      <c r="C4" s="2" t="s">
        <v>23</v>
      </c>
      <c r="D4" s="2">
        <v>14</v>
      </c>
      <c r="E4" s="6" t="s">
        <v>24</v>
      </c>
      <c r="F4" s="2" t="s">
        <v>25</v>
      </c>
      <c r="G4" s="2" t="s">
        <v>26</v>
      </c>
      <c r="H4" s="2" t="s">
        <v>26</v>
      </c>
      <c r="I4" s="2" t="s">
        <v>27</v>
      </c>
      <c r="J4" s="2" t="s">
        <v>28</v>
      </c>
      <c r="K4" s="4" t="s">
        <v>29</v>
      </c>
      <c r="L4" s="2" t="s">
        <v>356</v>
      </c>
      <c r="M4" s="2" t="s">
        <v>356</v>
      </c>
      <c r="O4">
        <f t="shared" si="0"/>
        <v>0</v>
      </c>
      <c r="Q4">
        <f t="shared" si="1"/>
        <v>0</v>
      </c>
      <c r="R4">
        <f t="shared" si="2"/>
        <v>0</v>
      </c>
      <c r="S4">
        <f t="shared" si="3"/>
        <v>0</v>
      </c>
      <c r="T4">
        <f t="shared" si="4"/>
        <v>0</v>
      </c>
    </row>
    <row r="5" spans="1:20" hidden="1" x14ac:dyDescent="0.2">
      <c r="A5" s="2" t="s">
        <v>18</v>
      </c>
      <c r="B5" s="3" t="s">
        <v>30</v>
      </c>
      <c r="C5" s="2" t="s">
        <v>31</v>
      </c>
      <c r="D5" s="2">
        <v>15</v>
      </c>
      <c r="E5" s="2" t="s">
        <v>25</v>
      </c>
      <c r="F5" s="2" t="s">
        <v>32</v>
      </c>
      <c r="G5" s="2" t="s">
        <v>33</v>
      </c>
      <c r="H5" s="2" t="s">
        <v>18</v>
      </c>
      <c r="I5" s="2" t="s">
        <v>34</v>
      </c>
      <c r="J5" s="2" t="s">
        <v>35</v>
      </c>
      <c r="K5" s="4" t="s">
        <v>36</v>
      </c>
      <c r="L5" s="2" t="s">
        <v>357</v>
      </c>
      <c r="M5" s="2" t="s">
        <v>356</v>
      </c>
      <c r="O5">
        <f t="shared" si="0"/>
        <v>0</v>
      </c>
      <c r="Q5">
        <f t="shared" si="1"/>
        <v>0</v>
      </c>
      <c r="R5">
        <f t="shared" si="2"/>
        <v>0</v>
      </c>
      <c r="S5">
        <f t="shared" si="3"/>
        <v>0</v>
      </c>
      <c r="T5">
        <f t="shared" si="4"/>
        <v>0</v>
      </c>
    </row>
    <row r="6" spans="1:20" x14ac:dyDescent="0.2">
      <c r="A6" s="2" t="s">
        <v>37</v>
      </c>
      <c r="B6" s="3" t="s">
        <v>38</v>
      </c>
      <c r="C6" s="2" t="s">
        <v>39</v>
      </c>
      <c r="D6" s="2">
        <v>15.5</v>
      </c>
      <c r="E6" s="2" t="s">
        <v>40</v>
      </c>
      <c r="F6" s="2" t="s">
        <v>41</v>
      </c>
      <c r="G6" s="2" t="s">
        <v>42</v>
      </c>
      <c r="H6" s="2" t="s">
        <v>5</v>
      </c>
      <c r="I6" s="2" t="s">
        <v>43</v>
      </c>
      <c r="J6" s="2" t="s">
        <v>44</v>
      </c>
      <c r="K6" s="4" t="s">
        <v>45</v>
      </c>
      <c r="L6" s="2" t="s">
        <v>357</v>
      </c>
      <c r="M6" s="2" t="s">
        <v>358</v>
      </c>
      <c r="N6" t="s">
        <v>360</v>
      </c>
      <c r="O6">
        <f t="shared" si="0"/>
        <v>474</v>
      </c>
      <c r="P6" s="2" t="s">
        <v>362</v>
      </c>
      <c r="Q6">
        <f t="shared" si="1"/>
        <v>120</v>
      </c>
      <c r="R6">
        <f t="shared" si="2"/>
        <v>7</v>
      </c>
      <c r="S6">
        <f t="shared" si="3"/>
        <v>3</v>
      </c>
      <c r="T6">
        <f t="shared" si="4"/>
        <v>11</v>
      </c>
    </row>
    <row r="7" spans="1:20" hidden="1" x14ac:dyDescent="0.2">
      <c r="A7" s="2" t="s">
        <v>15</v>
      </c>
      <c r="B7" s="3" t="s">
        <v>46</v>
      </c>
      <c r="C7" s="2" t="s">
        <v>47</v>
      </c>
      <c r="D7" s="2">
        <v>16</v>
      </c>
      <c r="E7" s="2" t="s">
        <v>48</v>
      </c>
      <c r="F7" s="2" t="s">
        <v>49</v>
      </c>
      <c r="G7" s="2" t="s">
        <v>50</v>
      </c>
      <c r="H7" s="2" t="s">
        <v>8</v>
      </c>
      <c r="I7" s="2" t="s">
        <v>19</v>
      </c>
      <c r="J7" s="2" t="s">
        <v>51</v>
      </c>
      <c r="K7" s="4" t="s">
        <v>52</v>
      </c>
      <c r="L7" s="2" t="s">
        <v>356</v>
      </c>
      <c r="M7" s="2" t="s">
        <v>356</v>
      </c>
      <c r="O7">
        <f t="shared" si="0"/>
        <v>0</v>
      </c>
      <c r="Q7">
        <f t="shared" si="1"/>
        <v>0</v>
      </c>
      <c r="R7">
        <f t="shared" si="2"/>
        <v>0</v>
      </c>
      <c r="S7">
        <f t="shared" si="3"/>
        <v>0</v>
      </c>
      <c r="T7">
        <f t="shared" si="4"/>
        <v>0</v>
      </c>
    </row>
    <row r="8" spans="1:20" hidden="1" x14ac:dyDescent="0.2">
      <c r="A8" s="2" t="s">
        <v>5</v>
      </c>
      <c r="B8" s="3" t="s">
        <v>53</v>
      </c>
      <c r="C8" s="2" t="s">
        <v>54</v>
      </c>
      <c r="D8" s="2">
        <v>20</v>
      </c>
      <c r="E8" s="2" t="s">
        <v>55</v>
      </c>
      <c r="F8" s="2" t="s">
        <v>56</v>
      </c>
      <c r="G8" s="2" t="s">
        <v>57</v>
      </c>
      <c r="H8" s="2" t="s">
        <v>2</v>
      </c>
      <c r="I8" s="2" t="s">
        <v>58</v>
      </c>
      <c r="J8" s="2" t="s">
        <v>59</v>
      </c>
      <c r="K8" s="4" t="s">
        <v>60</v>
      </c>
      <c r="L8" s="2" t="s">
        <v>357</v>
      </c>
      <c r="M8" s="2" t="s">
        <v>356</v>
      </c>
      <c r="N8" s="2"/>
      <c r="O8">
        <f t="shared" si="0"/>
        <v>0</v>
      </c>
      <c r="Q8">
        <f t="shared" si="1"/>
        <v>0</v>
      </c>
      <c r="R8">
        <f t="shared" si="2"/>
        <v>0</v>
      </c>
      <c r="S8">
        <f t="shared" si="3"/>
        <v>0</v>
      </c>
      <c r="T8">
        <f t="shared" si="4"/>
        <v>0</v>
      </c>
    </row>
    <row r="9" spans="1:20" x14ac:dyDescent="0.2">
      <c r="A9" s="2" t="s">
        <v>61</v>
      </c>
      <c r="B9" s="3" t="s">
        <v>62</v>
      </c>
      <c r="C9" s="2" t="s">
        <v>63</v>
      </c>
      <c r="D9" s="2">
        <v>23</v>
      </c>
      <c r="E9" s="2" t="s">
        <v>64</v>
      </c>
      <c r="F9" s="2" t="s">
        <v>65</v>
      </c>
      <c r="G9" s="2" t="s">
        <v>66</v>
      </c>
      <c r="H9" s="2" t="s">
        <v>8</v>
      </c>
      <c r="I9" s="2" t="s">
        <v>67</v>
      </c>
      <c r="J9" s="2" t="s">
        <v>68</v>
      </c>
      <c r="K9" s="4" t="s">
        <v>69</v>
      </c>
      <c r="L9" s="2" t="s">
        <v>356</v>
      </c>
      <c r="M9" s="2" t="s">
        <v>363</v>
      </c>
      <c r="N9" s="2" t="s">
        <v>364</v>
      </c>
      <c r="O9">
        <f t="shared" si="0"/>
        <v>230</v>
      </c>
      <c r="P9" s="2" t="s">
        <v>365</v>
      </c>
      <c r="Q9">
        <f t="shared" si="1"/>
        <v>9</v>
      </c>
      <c r="R9">
        <f t="shared" si="2"/>
        <v>3</v>
      </c>
      <c r="S9">
        <f t="shared" si="3"/>
        <v>0</v>
      </c>
      <c r="T9">
        <f t="shared" si="4"/>
        <v>1</v>
      </c>
    </row>
    <row r="10" spans="1:20" x14ac:dyDescent="0.2">
      <c r="A10" s="2" t="s">
        <v>65</v>
      </c>
      <c r="B10" s="3" t="s">
        <v>70</v>
      </c>
      <c r="C10" s="2" t="s">
        <v>71</v>
      </c>
      <c r="D10" s="2">
        <v>25</v>
      </c>
      <c r="E10" s="2" t="s">
        <v>72</v>
      </c>
      <c r="F10" s="2" t="s">
        <v>73</v>
      </c>
      <c r="G10" s="2" t="s">
        <v>74</v>
      </c>
      <c r="H10" s="2" t="s">
        <v>37</v>
      </c>
      <c r="I10" s="2" t="s">
        <v>75</v>
      </c>
      <c r="J10" s="2" t="s">
        <v>76</v>
      </c>
      <c r="K10" s="4" t="s">
        <v>77</v>
      </c>
      <c r="L10" s="2" t="s">
        <v>356</v>
      </c>
      <c r="M10" s="2" t="s">
        <v>366</v>
      </c>
      <c r="N10" s="2" t="s">
        <v>367</v>
      </c>
      <c r="O10">
        <f t="shared" si="0"/>
        <v>633</v>
      </c>
      <c r="P10" s="2" t="s">
        <v>368</v>
      </c>
      <c r="Q10">
        <f t="shared" si="1"/>
        <v>191</v>
      </c>
      <c r="R10">
        <f t="shared" si="2"/>
        <v>5</v>
      </c>
      <c r="S10">
        <f t="shared" si="3"/>
        <v>2</v>
      </c>
      <c r="T10">
        <f t="shared" si="4"/>
        <v>9</v>
      </c>
    </row>
    <row r="11" spans="1:20" hidden="1" x14ac:dyDescent="0.2">
      <c r="A11" s="2" t="s">
        <v>78</v>
      </c>
      <c r="B11" s="3" t="s">
        <v>79</v>
      </c>
      <c r="C11" s="2" t="s">
        <v>80</v>
      </c>
      <c r="D11" s="2">
        <v>25.5</v>
      </c>
      <c r="E11" s="2" t="s">
        <v>81</v>
      </c>
      <c r="F11" s="2" t="s">
        <v>82</v>
      </c>
      <c r="G11" s="2" t="s">
        <v>83</v>
      </c>
      <c r="H11" s="2" t="s">
        <v>12</v>
      </c>
      <c r="I11" s="2" t="s">
        <v>84</v>
      </c>
      <c r="J11" s="2" t="s">
        <v>85</v>
      </c>
      <c r="K11" s="4" t="s">
        <v>86</v>
      </c>
      <c r="L11" s="2" t="s">
        <v>356</v>
      </c>
      <c r="M11" s="2" t="s">
        <v>356</v>
      </c>
      <c r="O11">
        <f t="shared" si="0"/>
        <v>0</v>
      </c>
      <c r="Q11">
        <f t="shared" si="1"/>
        <v>0</v>
      </c>
      <c r="R11">
        <f t="shared" si="2"/>
        <v>0</v>
      </c>
      <c r="S11">
        <f t="shared" si="3"/>
        <v>0</v>
      </c>
      <c r="T11">
        <f t="shared" si="4"/>
        <v>0</v>
      </c>
    </row>
    <row r="12" spans="1:20" x14ac:dyDescent="0.2">
      <c r="A12" s="2" t="s">
        <v>56</v>
      </c>
      <c r="B12" s="3" t="s">
        <v>87</v>
      </c>
      <c r="C12" s="2" t="s">
        <v>88</v>
      </c>
      <c r="D12" s="2">
        <v>26</v>
      </c>
      <c r="E12" s="2" t="s">
        <v>89</v>
      </c>
      <c r="F12" s="2" t="s">
        <v>90</v>
      </c>
      <c r="G12" s="2" t="s">
        <v>17</v>
      </c>
      <c r="H12" s="2" t="s">
        <v>37</v>
      </c>
      <c r="I12" s="2" t="s">
        <v>91</v>
      </c>
      <c r="J12" s="2" t="s">
        <v>92</v>
      </c>
      <c r="K12" s="4" t="s">
        <v>93</v>
      </c>
      <c r="L12" s="2" t="s">
        <v>356</v>
      </c>
      <c r="M12" s="2" t="s">
        <v>369</v>
      </c>
      <c r="N12" s="2" t="s">
        <v>370</v>
      </c>
      <c r="O12">
        <f t="shared" si="0"/>
        <v>496</v>
      </c>
      <c r="P12" s="2" t="s">
        <v>371</v>
      </c>
      <c r="Q12">
        <f t="shared" si="1"/>
        <v>138</v>
      </c>
      <c r="R12">
        <f t="shared" si="2"/>
        <v>5</v>
      </c>
      <c r="S12">
        <f t="shared" si="3"/>
        <v>3</v>
      </c>
      <c r="T12">
        <f t="shared" si="4"/>
        <v>15</v>
      </c>
    </row>
    <row r="13" spans="1:20" hidden="1" x14ac:dyDescent="0.2">
      <c r="A13" s="2" t="s">
        <v>82</v>
      </c>
      <c r="B13" s="3" t="s">
        <v>94</v>
      </c>
      <c r="C13" s="2" t="s">
        <v>95</v>
      </c>
      <c r="D13" s="2">
        <v>28</v>
      </c>
      <c r="E13" s="2" t="s">
        <v>96</v>
      </c>
      <c r="F13" s="2" t="s">
        <v>78</v>
      </c>
      <c r="G13" s="2" t="s">
        <v>78</v>
      </c>
      <c r="H13" s="2" t="s">
        <v>2</v>
      </c>
      <c r="I13" s="2" t="s">
        <v>67</v>
      </c>
      <c r="J13" s="2" t="s">
        <v>97</v>
      </c>
      <c r="K13" s="4" t="s">
        <v>98</v>
      </c>
      <c r="L13" s="2" t="s">
        <v>356</v>
      </c>
      <c r="M13" s="2" t="s">
        <v>356</v>
      </c>
      <c r="O13">
        <f t="shared" si="0"/>
        <v>0</v>
      </c>
      <c r="Q13">
        <f t="shared" si="1"/>
        <v>0</v>
      </c>
      <c r="R13">
        <f t="shared" si="2"/>
        <v>0</v>
      </c>
      <c r="S13">
        <f t="shared" si="3"/>
        <v>0</v>
      </c>
      <c r="T13">
        <f t="shared" si="4"/>
        <v>0</v>
      </c>
    </row>
    <row r="14" spans="1:20" hidden="1" x14ac:dyDescent="0.2">
      <c r="A14" s="2" t="s">
        <v>99</v>
      </c>
      <c r="B14" s="3" t="s">
        <v>100</v>
      </c>
      <c r="C14" s="2" t="s">
        <v>101</v>
      </c>
      <c r="D14" s="2">
        <v>28</v>
      </c>
      <c r="E14" s="2" t="s">
        <v>96</v>
      </c>
      <c r="F14" s="2" t="s">
        <v>78</v>
      </c>
      <c r="G14" s="2" t="s">
        <v>78</v>
      </c>
      <c r="H14" s="2" t="s">
        <v>2</v>
      </c>
      <c r="I14" s="2" t="s">
        <v>67</v>
      </c>
      <c r="J14" s="2" t="s">
        <v>102</v>
      </c>
      <c r="K14" s="4" t="s">
        <v>103</v>
      </c>
      <c r="L14" s="2" t="s">
        <v>356</v>
      </c>
      <c r="M14" s="2" t="s">
        <v>356</v>
      </c>
      <c r="O14">
        <f t="shared" si="0"/>
        <v>0</v>
      </c>
      <c r="Q14">
        <f t="shared" si="1"/>
        <v>0</v>
      </c>
      <c r="R14">
        <f t="shared" si="2"/>
        <v>0</v>
      </c>
      <c r="S14">
        <f t="shared" si="3"/>
        <v>0</v>
      </c>
      <c r="T14">
        <f t="shared" si="4"/>
        <v>0</v>
      </c>
    </row>
    <row r="15" spans="1:20" hidden="1" x14ac:dyDescent="0.2">
      <c r="A15" s="2" t="s">
        <v>24</v>
      </c>
      <c r="B15" s="3" t="s">
        <v>104</v>
      </c>
      <c r="C15" s="2" t="s">
        <v>105</v>
      </c>
      <c r="D15" s="2">
        <v>28.5</v>
      </c>
      <c r="E15" s="2" t="s">
        <v>106</v>
      </c>
      <c r="F15" s="2" t="s">
        <v>107</v>
      </c>
      <c r="G15" s="2" t="s">
        <v>108</v>
      </c>
      <c r="H15" s="2" t="s">
        <v>2</v>
      </c>
      <c r="I15" s="2" t="s">
        <v>109</v>
      </c>
      <c r="J15" s="2" t="s">
        <v>110</v>
      </c>
      <c r="K15" s="4" t="s">
        <v>111</v>
      </c>
      <c r="L15" s="2" t="s">
        <v>357</v>
      </c>
      <c r="M15" s="2" t="s">
        <v>356</v>
      </c>
      <c r="O15">
        <f t="shared" si="0"/>
        <v>0</v>
      </c>
      <c r="Q15">
        <f t="shared" si="1"/>
        <v>0</v>
      </c>
      <c r="R15">
        <f t="shared" si="2"/>
        <v>0</v>
      </c>
      <c r="S15">
        <f t="shared" si="3"/>
        <v>0</v>
      </c>
      <c r="T15">
        <f t="shared" si="4"/>
        <v>0</v>
      </c>
    </row>
    <row r="16" spans="1:20" hidden="1" x14ac:dyDescent="0.2">
      <c r="A16" s="2" t="s">
        <v>25</v>
      </c>
      <c r="B16" s="3" t="s">
        <v>112</v>
      </c>
      <c r="C16" s="2" t="s">
        <v>113</v>
      </c>
      <c r="D16" s="2">
        <v>31</v>
      </c>
      <c r="E16" s="2" t="s">
        <v>114</v>
      </c>
      <c r="F16" s="2" t="s">
        <v>49</v>
      </c>
      <c r="G16" s="2" t="s">
        <v>115</v>
      </c>
      <c r="H16" s="2" t="s">
        <v>12</v>
      </c>
      <c r="I16" s="2" t="s">
        <v>58</v>
      </c>
      <c r="J16" s="2" t="s">
        <v>116</v>
      </c>
      <c r="K16" s="4" t="s">
        <v>117</v>
      </c>
      <c r="L16" s="2" t="s">
        <v>357</v>
      </c>
      <c r="M16" s="2" t="s">
        <v>356</v>
      </c>
      <c r="O16">
        <f t="shared" si="0"/>
        <v>0</v>
      </c>
      <c r="Q16">
        <f t="shared" si="1"/>
        <v>0</v>
      </c>
      <c r="R16">
        <f t="shared" si="2"/>
        <v>0</v>
      </c>
      <c r="S16">
        <f t="shared" si="3"/>
        <v>0</v>
      </c>
      <c r="T16">
        <f t="shared" si="4"/>
        <v>0</v>
      </c>
    </row>
    <row r="17" spans="1:20" x14ac:dyDescent="0.2">
      <c r="A17" s="2" t="s">
        <v>48</v>
      </c>
      <c r="B17" s="3" t="s">
        <v>118</v>
      </c>
      <c r="C17" s="2" t="s">
        <v>119</v>
      </c>
      <c r="D17" s="2">
        <v>31</v>
      </c>
      <c r="E17" s="2" t="s">
        <v>114</v>
      </c>
      <c r="F17" s="2" t="s">
        <v>120</v>
      </c>
      <c r="G17" s="2" t="s">
        <v>121</v>
      </c>
      <c r="H17" s="2" t="s">
        <v>122</v>
      </c>
      <c r="I17" s="2" t="s">
        <v>123</v>
      </c>
      <c r="J17" s="2" t="s">
        <v>124</v>
      </c>
      <c r="K17" s="4" t="s">
        <v>125</v>
      </c>
      <c r="L17" s="2" t="s">
        <v>357</v>
      </c>
      <c r="M17" s="2" t="s">
        <v>372</v>
      </c>
      <c r="N17" s="2" t="s">
        <v>373</v>
      </c>
      <c r="O17">
        <f t="shared" si="0"/>
        <v>816</v>
      </c>
      <c r="P17" s="2" t="s">
        <v>374</v>
      </c>
      <c r="Q17">
        <f t="shared" si="1"/>
        <v>459</v>
      </c>
      <c r="R17">
        <f t="shared" si="2"/>
        <v>121</v>
      </c>
      <c r="S17">
        <f t="shared" si="3"/>
        <v>24</v>
      </c>
      <c r="T17">
        <f t="shared" si="4"/>
        <v>24</v>
      </c>
    </row>
    <row r="18" spans="1:20" x14ac:dyDescent="0.2">
      <c r="A18" s="2" t="s">
        <v>126</v>
      </c>
      <c r="B18" s="3" t="s">
        <v>127</v>
      </c>
      <c r="C18" s="2" t="s">
        <v>128</v>
      </c>
      <c r="D18" s="2">
        <v>32.5</v>
      </c>
      <c r="E18" s="2" t="s">
        <v>129</v>
      </c>
      <c r="F18" s="2" t="s">
        <v>130</v>
      </c>
      <c r="G18" s="2" t="s">
        <v>17</v>
      </c>
      <c r="H18" s="2" t="s">
        <v>18</v>
      </c>
      <c r="I18" s="2" t="s">
        <v>9</v>
      </c>
      <c r="J18" s="2" t="s">
        <v>131</v>
      </c>
      <c r="K18" s="4" t="s">
        <v>132</v>
      </c>
      <c r="L18" s="2" t="s">
        <v>357</v>
      </c>
      <c r="M18" s="2" t="s">
        <v>444</v>
      </c>
      <c r="N18" s="2" t="s">
        <v>445</v>
      </c>
      <c r="O18">
        <f t="shared" si="0"/>
        <v>466</v>
      </c>
      <c r="P18" s="2" t="s">
        <v>446</v>
      </c>
      <c r="Q18">
        <f t="shared" si="1"/>
        <v>112</v>
      </c>
      <c r="R18">
        <f t="shared" si="2"/>
        <v>4</v>
      </c>
      <c r="S18">
        <f t="shared" si="3"/>
        <v>5</v>
      </c>
      <c r="T18">
        <f t="shared" si="4"/>
        <v>11</v>
      </c>
    </row>
    <row r="19" spans="1:20" x14ac:dyDescent="0.2">
      <c r="A19" s="2" t="s">
        <v>133</v>
      </c>
      <c r="B19" s="3" t="s">
        <v>134</v>
      </c>
      <c r="C19" s="2" t="s">
        <v>135</v>
      </c>
      <c r="D19" s="2">
        <v>33.5</v>
      </c>
      <c r="E19" s="2" t="s">
        <v>136</v>
      </c>
      <c r="F19" s="2" t="s">
        <v>137</v>
      </c>
      <c r="G19" s="2" t="s">
        <v>138</v>
      </c>
      <c r="H19" s="8" t="s">
        <v>18</v>
      </c>
      <c r="I19" s="2" t="s">
        <v>139</v>
      </c>
      <c r="J19" s="2" t="s">
        <v>140</v>
      </c>
      <c r="K19" s="4" t="s">
        <v>141</v>
      </c>
      <c r="L19" s="2" t="s">
        <v>356</v>
      </c>
      <c r="M19" s="2" t="s">
        <v>441</v>
      </c>
      <c r="N19" s="2" t="s">
        <v>442</v>
      </c>
      <c r="O19">
        <f t="shared" si="0"/>
        <v>488</v>
      </c>
      <c r="P19" s="2" t="s">
        <v>443</v>
      </c>
      <c r="Q19">
        <f t="shared" si="1"/>
        <v>127</v>
      </c>
      <c r="R19">
        <f t="shared" si="2"/>
        <v>2</v>
      </c>
      <c r="S19">
        <f t="shared" si="3"/>
        <v>4</v>
      </c>
      <c r="T19">
        <f t="shared" si="4"/>
        <v>16</v>
      </c>
    </row>
    <row r="20" spans="1:20" x14ac:dyDescent="0.2">
      <c r="A20" s="2" t="s">
        <v>142</v>
      </c>
      <c r="B20" s="3" t="s">
        <v>143</v>
      </c>
      <c r="C20" s="2" t="s">
        <v>144</v>
      </c>
      <c r="D20" s="2">
        <v>34</v>
      </c>
      <c r="E20" s="2" t="s">
        <v>145</v>
      </c>
      <c r="F20" s="2" t="s">
        <v>146</v>
      </c>
      <c r="G20" s="2" t="s">
        <v>147</v>
      </c>
      <c r="H20" s="2" t="s">
        <v>8</v>
      </c>
      <c r="I20" s="2" t="s">
        <v>148</v>
      </c>
      <c r="J20" s="2" t="s">
        <v>149</v>
      </c>
      <c r="K20" s="4" t="s">
        <v>150</v>
      </c>
      <c r="L20" s="2" t="s">
        <v>356</v>
      </c>
      <c r="M20" s="2" t="s">
        <v>438</v>
      </c>
      <c r="N20" s="2" t="s">
        <v>439</v>
      </c>
      <c r="O20">
        <f t="shared" si="0"/>
        <v>428</v>
      </c>
      <c r="P20" s="2" t="s">
        <v>440</v>
      </c>
      <c r="Q20">
        <f t="shared" si="1"/>
        <v>74</v>
      </c>
      <c r="R20">
        <f t="shared" si="2"/>
        <v>3</v>
      </c>
      <c r="S20">
        <f t="shared" si="3"/>
        <v>0</v>
      </c>
      <c r="T20">
        <f t="shared" si="4"/>
        <v>7</v>
      </c>
    </row>
    <row r="21" spans="1:20" x14ac:dyDescent="0.2">
      <c r="A21" s="2" t="s">
        <v>55</v>
      </c>
      <c r="B21" s="3" t="s">
        <v>151</v>
      </c>
      <c r="C21" s="2" t="s">
        <v>152</v>
      </c>
      <c r="D21" s="2">
        <v>34</v>
      </c>
      <c r="E21" s="2" t="s">
        <v>145</v>
      </c>
      <c r="F21" s="2" t="s">
        <v>153</v>
      </c>
      <c r="G21" s="2" t="s">
        <v>154</v>
      </c>
      <c r="H21" s="2" t="s">
        <v>18</v>
      </c>
      <c r="I21" s="2" t="s">
        <v>155</v>
      </c>
      <c r="J21" s="2" t="s">
        <v>156</v>
      </c>
      <c r="K21" s="4" t="s">
        <v>6</v>
      </c>
      <c r="L21" s="2" t="s">
        <v>357</v>
      </c>
      <c r="M21" s="2" t="s">
        <v>375</v>
      </c>
      <c r="N21" s="2" t="s">
        <v>376</v>
      </c>
      <c r="O21">
        <f t="shared" si="0"/>
        <v>468</v>
      </c>
      <c r="P21" s="2" t="s">
        <v>377</v>
      </c>
      <c r="Q21">
        <f t="shared" si="1"/>
        <v>107</v>
      </c>
      <c r="R21">
        <f t="shared" si="2"/>
        <v>4</v>
      </c>
      <c r="S21">
        <f t="shared" si="3"/>
        <v>1</v>
      </c>
      <c r="T21">
        <f t="shared" si="4"/>
        <v>3</v>
      </c>
    </row>
    <row r="22" spans="1:20" hidden="1" x14ac:dyDescent="0.2">
      <c r="A22" s="2" t="s">
        <v>157</v>
      </c>
      <c r="B22" s="3" t="s">
        <v>158</v>
      </c>
      <c r="C22" s="2" t="s">
        <v>159</v>
      </c>
      <c r="D22" s="2">
        <v>34.5</v>
      </c>
      <c r="E22" s="2" t="s">
        <v>160</v>
      </c>
      <c r="F22" s="2" t="s">
        <v>161</v>
      </c>
      <c r="G22" s="2" t="s">
        <v>138</v>
      </c>
      <c r="H22" s="2" t="s">
        <v>18</v>
      </c>
      <c r="I22" s="2" t="s">
        <v>162</v>
      </c>
      <c r="J22" s="2" t="s">
        <v>163</v>
      </c>
      <c r="K22" s="4" t="s">
        <v>164</v>
      </c>
      <c r="L22" s="2" t="s">
        <v>356</v>
      </c>
      <c r="M22" s="2" t="s">
        <v>356</v>
      </c>
      <c r="N22" s="2"/>
      <c r="O22">
        <f t="shared" si="0"/>
        <v>0</v>
      </c>
      <c r="Q22">
        <f t="shared" si="1"/>
        <v>0</v>
      </c>
      <c r="R22">
        <f t="shared" si="2"/>
        <v>0</v>
      </c>
      <c r="S22">
        <f t="shared" si="3"/>
        <v>0</v>
      </c>
      <c r="T22">
        <f t="shared" si="4"/>
        <v>0</v>
      </c>
    </row>
    <row r="23" spans="1:20" x14ac:dyDescent="0.2">
      <c r="A23" s="2" t="s">
        <v>165</v>
      </c>
      <c r="B23" s="3" t="s">
        <v>166</v>
      </c>
      <c r="C23" s="2" t="s">
        <v>167</v>
      </c>
      <c r="D23" s="2">
        <v>35</v>
      </c>
      <c r="E23" s="2" t="s">
        <v>168</v>
      </c>
      <c r="F23" s="2" t="s">
        <v>169</v>
      </c>
      <c r="G23" s="2" t="s">
        <v>42</v>
      </c>
      <c r="H23" s="2" t="s">
        <v>99</v>
      </c>
      <c r="I23" s="2" t="s">
        <v>170</v>
      </c>
      <c r="J23" s="2" t="s">
        <v>171</v>
      </c>
      <c r="K23" s="4" t="s">
        <v>172</v>
      </c>
      <c r="L23" s="2" t="s">
        <v>357</v>
      </c>
      <c r="M23" s="2" t="s">
        <v>435</v>
      </c>
      <c r="N23" s="2" t="s">
        <v>436</v>
      </c>
      <c r="O23">
        <f t="shared" si="0"/>
        <v>580</v>
      </c>
      <c r="P23" s="2" t="s">
        <v>437</v>
      </c>
      <c r="Q23">
        <f t="shared" si="1"/>
        <v>226</v>
      </c>
      <c r="R23">
        <f t="shared" si="2"/>
        <v>13</v>
      </c>
      <c r="S23">
        <f t="shared" si="3"/>
        <v>1</v>
      </c>
      <c r="T23">
        <f t="shared" si="4"/>
        <v>15</v>
      </c>
    </row>
    <row r="24" spans="1:20" x14ac:dyDescent="0.2">
      <c r="A24" s="2" t="s">
        <v>64</v>
      </c>
      <c r="B24" s="3" t="s">
        <v>173</v>
      </c>
      <c r="C24" s="2" t="s">
        <v>174</v>
      </c>
      <c r="D24" s="2">
        <v>35.5</v>
      </c>
      <c r="E24" s="2" t="s">
        <v>175</v>
      </c>
      <c r="F24" s="2" t="s">
        <v>176</v>
      </c>
      <c r="G24" s="2" t="s">
        <v>177</v>
      </c>
      <c r="H24" s="2" t="s">
        <v>5</v>
      </c>
      <c r="I24" s="2" t="s">
        <v>178</v>
      </c>
      <c r="J24" s="2" t="s">
        <v>179</v>
      </c>
      <c r="K24" s="4" t="s">
        <v>180</v>
      </c>
      <c r="L24" s="2" t="s">
        <v>357</v>
      </c>
      <c r="M24" s="2" t="s">
        <v>378</v>
      </c>
      <c r="N24" s="2" t="s">
        <v>379</v>
      </c>
      <c r="O24">
        <f t="shared" si="0"/>
        <v>491</v>
      </c>
      <c r="P24" s="2" t="s">
        <v>380</v>
      </c>
      <c r="Q24">
        <f t="shared" si="1"/>
        <v>141</v>
      </c>
      <c r="R24">
        <f t="shared" si="2"/>
        <v>7</v>
      </c>
      <c r="S24">
        <f t="shared" si="3"/>
        <v>2</v>
      </c>
      <c r="T24">
        <f t="shared" si="4"/>
        <v>15</v>
      </c>
    </row>
    <row r="25" spans="1:20" hidden="1" x14ac:dyDescent="0.2">
      <c r="A25" s="2" t="s">
        <v>181</v>
      </c>
      <c r="B25" s="3" t="s">
        <v>182</v>
      </c>
      <c r="C25" s="2" t="s">
        <v>183</v>
      </c>
      <c r="D25" s="2">
        <v>35.5</v>
      </c>
      <c r="E25" s="2" t="s">
        <v>175</v>
      </c>
      <c r="F25" s="2" t="s">
        <v>184</v>
      </c>
      <c r="G25" s="2" t="s">
        <v>121</v>
      </c>
      <c r="H25" s="2" t="s">
        <v>185</v>
      </c>
      <c r="I25" s="2" t="s">
        <v>123</v>
      </c>
      <c r="J25" s="2" t="s">
        <v>186</v>
      </c>
      <c r="K25" s="4" t="s">
        <v>187</v>
      </c>
      <c r="L25" s="2" t="s">
        <v>357</v>
      </c>
      <c r="M25" s="2" t="s">
        <v>356</v>
      </c>
      <c r="N25" s="2"/>
      <c r="O25">
        <f t="shared" si="0"/>
        <v>0</v>
      </c>
      <c r="Q25">
        <f t="shared" si="1"/>
        <v>0</v>
      </c>
      <c r="R25">
        <f t="shared" si="2"/>
        <v>0</v>
      </c>
      <c r="S25">
        <f t="shared" si="3"/>
        <v>0</v>
      </c>
      <c r="T25">
        <f t="shared" si="4"/>
        <v>0</v>
      </c>
    </row>
    <row r="26" spans="1:20" x14ac:dyDescent="0.2">
      <c r="A26" s="2" t="s">
        <v>72</v>
      </c>
      <c r="B26" s="3" t="s">
        <v>188</v>
      </c>
      <c r="C26" s="2" t="s">
        <v>189</v>
      </c>
      <c r="D26" s="2">
        <v>36</v>
      </c>
      <c r="E26" s="2" t="s">
        <v>190</v>
      </c>
      <c r="F26" s="2" t="s">
        <v>191</v>
      </c>
      <c r="G26" s="2" t="s">
        <v>192</v>
      </c>
      <c r="H26" s="2" t="s">
        <v>5</v>
      </c>
      <c r="I26" s="2" t="s">
        <v>19</v>
      </c>
      <c r="J26" s="2" t="s">
        <v>193</v>
      </c>
      <c r="K26" s="4" t="s">
        <v>194</v>
      </c>
      <c r="L26" s="2" t="s">
        <v>356</v>
      </c>
      <c r="M26" s="2" t="s">
        <v>381</v>
      </c>
      <c r="N26" s="2" t="s">
        <v>382</v>
      </c>
      <c r="O26">
        <f t="shared" si="0"/>
        <v>467</v>
      </c>
      <c r="P26" s="2" t="s">
        <v>383</v>
      </c>
      <c r="Q26">
        <f t="shared" si="1"/>
        <v>114</v>
      </c>
      <c r="R26">
        <f t="shared" si="2"/>
        <v>7</v>
      </c>
      <c r="S26">
        <f t="shared" si="3"/>
        <v>2</v>
      </c>
      <c r="T26">
        <f t="shared" si="4"/>
        <v>8</v>
      </c>
    </row>
    <row r="27" spans="1:20" x14ac:dyDescent="0.2">
      <c r="A27" s="2" t="s">
        <v>89</v>
      </c>
      <c r="B27" s="3" t="s">
        <v>202</v>
      </c>
      <c r="C27" s="2" t="s">
        <v>203</v>
      </c>
      <c r="D27" s="2">
        <v>36</v>
      </c>
      <c r="E27" s="2" t="s">
        <v>190</v>
      </c>
      <c r="F27" s="2" t="s">
        <v>28</v>
      </c>
      <c r="G27" s="2" t="s">
        <v>204</v>
      </c>
      <c r="H27" s="2" t="s">
        <v>172</v>
      </c>
      <c r="I27" s="2" t="s">
        <v>205</v>
      </c>
      <c r="J27" s="2" t="s">
        <v>206</v>
      </c>
      <c r="K27" s="4" t="s">
        <v>207</v>
      </c>
      <c r="L27" s="2" t="s">
        <v>357</v>
      </c>
      <c r="M27" s="2" t="s">
        <v>384</v>
      </c>
      <c r="N27" s="2" t="s">
        <v>385</v>
      </c>
      <c r="O27">
        <f t="shared" si="0"/>
        <v>705</v>
      </c>
      <c r="P27" s="2" t="s">
        <v>386</v>
      </c>
      <c r="Q27">
        <f t="shared" si="1"/>
        <v>351</v>
      </c>
      <c r="R27">
        <f t="shared" si="2"/>
        <v>67</v>
      </c>
      <c r="S27">
        <f t="shared" si="3"/>
        <v>10</v>
      </c>
      <c r="T27">
        <f t="shared" si="4"/>
        <v>29</v>
      </c>
    </row>
    <row r="28" spans="1:20" x14ac:dyDescent="0.2">
      <c r="A28" s="2" t="s">
        <v>208</v>
      </c>
      <c r="B28" s="3" t="s">
        <v>209</v>
      </c>
      <c r="C28" s="2" t="s">
        <v>210</v>
      </c>
      <c r="D28" s="2">
        <v>36</v>
      </c>
      <c r="E28" s="2" t="s">
        <v>190</v>
      </c>
      <c r="F28" s="2" t="s">
        <v>211</v>
      </c>
      <c r="G28" s="2" t="s">
        <v>212</v>
      </c>
      <c r="H28" s="2" t="s">
        <v>107</v>
      </c>
      <c r="I28" s="2" t="s">
        <v>213</v>
      </c>
      <c r="J28" s="2" t="s">
        <v>214</v>
      </c>
      <c r="K28" s="4" t="s">
        <v>215</v>
      </c>
      <c r="L28" s="2" t="s">
        <v>357</v>
      </c>
      <c r="M28" s="2" t="s">
        <v>432</v>
      </c>
      <c r="N28" s="2" t="s">
        <v>433</v>
      </c>
      <c r="O28">
        <f t="shared" si="0"/>
        <v>804</v>
      </c>
      <c r="P28" s="2" t="s">
        <v>434</v>
      </c>
      <c r="Q28">
        <f t="shared" si="1"/>
        <v>449</v>
      </c>
      <c r="R28">
        <f t="shared" si="2"/>
        <v>95</v>
      </c>
      <c r="S28">
        <f t="shared" si="3"/>
        <v>28</v>
      </c>
      <c r="T28">
        <f t="shared" si="4"/>
        <v>30</v>
      </c>
    </row>
    <row r="29" spans="1:20" x14ac:dyDescent="0.2">
      <c r="A29" s="2" t="s">
        <v>96</v>
      </c>
      <c r="B29" s="3" t="s">
        <v>216</v>
      </c>
      <c r="C29" s="2" t="s">
        <v>217</v>
      </c>
      <c r="D29" s="2">
        <v>36</v>
      </c>
      <c r="E29" s="2" t="s">
        <v>190</v>
      </c>
      <c r="F29" s="2" t="s">
        <v>191</v>
      </c>
      <c r="G29" s="2" t="s">
        <v>218</v>
      </c>
      <c r="H29" s="2" t="s">
        <v>61</v>
      </c>
      <c r="I29" s="2" t="s">
        <v>219</v>
      </c>
      <c r="J29" s="2" t="s">
        <v>193</v>
      </c>
      <c r="K29" s="4" t="s">
        <v>220</v>
      </c>
      <c r="L29" s="2" t="s">
        <v>356</v>
      </c>
      <c r="M29" s="2" t="s">
        <v>429</v>
      </c>
      <c r="N29" s="2" t="s">
        <v>430</v>
      </c>
      <c r="O29">
        <f t="shared" si="0"/>
        <v>467</v>
      </c>
      <c r="P29" s="2" t="s">
        <v>431</v>
      </c>
      <c r="Q29">
        <f t="shared" si="1"/>
        <v>113</v>
      </c>
      <c r="R29">
        <f t="shared" si="2"/>
        <v>8</v>
      </c>
      <c r="S29">
        <f t="shared" si="3"/>
        <v>2</v>
      </c>
      <c r="T29">
        <f t="shared" si="4"/>
        <v>8</v>
      </c>
    </row>
    <row r="30" spans="1:20" x14ac:dyDescent="0.2">
      <c r="A30" s="2" t="s">
        <v>221</v>
      </c>
      <c r="B30" s="3" t="s">
        <v>222</v>
      </c>
      <c r="C30" s="2" t="s">
        <v>223</v>
      </c>
      <c r="D30" s="2">
        <v>36.5</v>
      </c>
      <c r="E30" s="2" t="s">
        <v>224</v>
      </c>
      <c r="F30" s="2" t="s">
        <v>225</v>
      </c>
      <c r="G30" s="2" t="s">
        <v>226</v>
      </c>
      <c r="H30" s="2" t="s">
        <v>24</v>
      </c>
      <c r="I30" s="2" t="s">
        <v>227</v>
      </c>
      <c r="J30" s="2" t="s">
        <v>228</v>
      </c>
      <c r="K30" s="4" t="s">
        <v>146</v>
      </c>
      <c r="L30" s="2" t="s">
        <v>357</v>
      </c>
      <c r="M30" s="2" t="s">
        <v>387</v>
      </c>
      <c r="N30" s="2" t="s">
        <v>388</v>
      </c>
      <c r="O30">
        <f t="shared" si="0"/>
        <v>547</v>
      </c>
      <c r="P30" s="2" t="s">
        <v>389</v>
      </c>
      <c r="Q30">
        <f t="shared" si="1"/>
        <v>192</v>
      </c>
      <c r="R30">
        <f t="shared" si="2"/>
        <v>14</v>
      </c>
      <c r="S30">
        <f t="shared" si="3"/>
        <v>2</v>
      </c>
      <c r="T30">
        <f t="shared" si="4"/>
        <v>9</v>
      </c>
    </row>
    <row r="31" spans="1:20" x14ac:dyDescent="0.2">
      <c r="A31" s="2" t="s">
        <v>229</v>
      </c>
      <c r="B31" s="3" t="s">
        <v>230</v>
      </c>
      <c r="C31" s="2" t="s">
        <v>231</v>
      </c>
      <c r="D31" s="2">
        <v>36.5</v>
      </c>
      <c r="E31" s="2" t="s">
        <v>224</v>
      </c>
      <c r="F31" s="2" t="s">
        <v>149</v>
      </c>
      <c r="G31" s="2" t="s">
        <v>232</v>
      </c>
      <c r="H31" s="2" t="s">
        <v>233</v>
      </c>
      <c r="I31" s="2" t="s">
        <v>234</v>
      </c>
      <c r="J31" s="2" t="s">
        <v>235</v>
      </c>
      <c r="K31" s="4" t="s">
        <v>236</v>
      </c>
      <c r="L31" s="2" t="s">
        <v>357</v>
      </c>
      <c r="M31" s="2" t="s">
        <v>390</v>
      </c>
      <c r="N31" s="2" t="s">
        <v>391</v>
      </c>
      <c r="O31">
        <f t="shared" si="0"/>
        <v>780</v>
      </c>
      <c r="P31" s="2" t="s">
        <v>392</v>
      </c>
      <c r="Q31">
        <f t="shared" si="1"/>
        <v>428</v>
      </c>
      <c r="R31">
        <f t="shared" si="2"/>
        <v>83</v>
      </c>
      <c r="S31">
        <f t="shared" si="3"/>
        <v>19</v>
      </c>
      <c r="T31">
        <f t="shared" si="4"/>
        <v>29</v>
      </c>
    </row>
    <row r="32" spans="1:20" x14ac:dyDescent="0.2">
      <c r="A32" s="2" t="s">
        <v>114</v>
      </c>
      <c r="B32" s="3" t="s">
        <v>237</v>
      </c>
      <c r="C32" s="2" t="s">
        <v>238</v>
      </c>
      <c r="D32" s="2">
        <v>36.5</v>
      </c>
      <c r="E32" s="2" t="s">
        <v>224</v>
      </c>
      <c r="F32" s="2" t="s">
        <v>239</v>
      </c>
      <c r="G32" s="2" t="s">
        <v>240</v>
      </c>
      <c r="H32" s="2" t="s">
        <v>98</v>
      </c>
      <c r="I32" s="2" t="s">
        <v>241</v>
      </c>
      <c r="J32" s="2" t="s">
        <v>242</v>
      </c>
      <c r="K32" s="4" t="s">
        <v>243</v>
      </c>
      <c r="L32" s="2" t="s">
        <v>357</v>
      </c>
      <c r="M32" s="2" t="s">
        <v>393</v>
      </c>
      <c r="N32" s="2" t="s">
        <v>394</v>
      </c>
      <c r="O32">
        <f t="shared" si="0"/>
        <v>686</v>
      </c>
      <c r="P32" s="2" t="s">
        <v>395</v>
      </c>
      <c r="Q32">
        <f t="shared" si="1"/>
        <v>332</v>
      </c>
      <c r="R32">
        <f t="shared" si="2"/>
        <v>57</v>
      </c>
      <c r="S32">
        <f t="shared" si="3"/>
        <v>11</v>
      </c>
      <c r="T32">
        <f t="shared" si="4"/>
        <v>22</v>
      </c>
    </row>
    <row r="33" spans="1:20" x14ac:dyDescent="0.2">
      <c r="A33" s="2" t="s">
        <v>244</v>
      </c>
      <c r="B33" s="3" t="s">
        <v>245</v>
      </c>
      <c r="C33" s="2" t="s">
        <v>246</v>
      </c>
      <c r="D33" s="2">
        <v>37</v>
      </c>
      <c r="E33" s="2" t="s">
        <v>247</v>
      </c>
      <c r="F33" s="2" t="s">
        <v>248</v>
      </c>
      <c r="G33" s="2" t="s">
        <v>249</v>
      </c>
      <c r="H33" s="2" t="s">
        <v>250</v>
      </c>
      <c r="I33" s="2" t="s">
        <v>251</v>
      </c>
      <c r="J33" s="2" t="s">
        <v>252</v>
      </c>
      <c r="K33" s="4" t="s">
        <v>253</v>
      </c>
      <c r="L33" s="2" t="s">
        <v>357</v>
      </c>
      <c r="M33" s="2" t="s">
        <v>396</v>
      </c>
      <c r="N33" s="2" t="s">
        <v>397</v>
      </c>
      <c r="O33">
        <f t="shared" si="0"/>
        <v>798</v>
      </c>
      <c r="P33" s="2" t="s">
        <v>398</v>
      </c>
      <c r="Q33">
        <f t="shared" si="1"/>
        <v>413</v>
      </c>
      <c r="R33">
        <f t="shared" si="2"/>
        <v>78</v>
      </c>
      <c r="S33">
        <f t="shared" si="3"/>
        <v>14</v>
      </c>
      <c r="T33">
        <f t="shared" si="4"/>
        <v>26</v>
      </c>
    </row>
    <row r="34" spans="1:20" x14ac:dyDescent="0.2">
      <c r="A34" s="2" t="s">
        <v>254</v>
      </c>
      <c r="B34" s="3" t="s">
        <v>255</v>
      </c>
      <c r="C34" s="2" t="s">
        <v>256</v>
      </c>
      <c r="D34" s="2">
        <v>37</v>
      </c>
      <c r="E34" s="2" t="s">
        <v>247</v>
      </c>
      <c r="F34" s="2" t="s">
        <v>257</v>
      </c>
      <c r="G34" s="2" t="s">
        <v>258</v>
      </c>
      <c r="H34" s="2" t="s">
        <v>93</v>
      </c>
      <c r="I34" s="2" t="s">
        <v>259</v>
      </c>
      <c r="J34" s="2" t="s">
        <v>260</v>
      </c>
      <c r="K34" s="4" t="s">
        <v>250</v>
      </c>
      <c r="L34" s="2" t="s">
        <v>356</v>
      </c>
      <c r="M34" s="2" t="s">
        <v>426</v>
      </c>
      <c r="N34" s="2" t="s">
        <v>427</v>
      </c>
      <c r="O34">
        <f t="shared" si="0"/>
        <v>727</v>
      </c>
      <c r="P34" s="2" t="s">
        <v>428</v>
      </c>
      <c r="Q34">
        <f t="shared" si="1"/>
        <v>374</v>
      </c>
      <c r="R34">
        <f t="shared" si="2"/>
        <v>56</v>
      </c>
      <c r="S34">
        <f t="shared" si="3"/>
        <v>10</v>
      </c>
      <c r="T34">
        <f t="shared" si="4"/>
        <v>17</v>
      </c>
    </row>
    <row r="35" spans="1:20" x14ac:dyDescent="0.2">
      <c r="A35" s="2" t="s">
        <v>145</v>
      </c>
      <c r="B35" s="3" t="s">
        <v>261</v>
      </c>
      <c r="C35" s="2" t="s">
        <v>262</v>
      </c>
      <c r="D35" s="2">
        <v>37</v>
      </c>
      <c r="E35" s="2" t="s">
        <v>247</v>
      </c>
      <c r="F35" s="2" t="s">
        <v>263</v>
      </c>
      <c r="G35" s="2" t="s">
        <v>40</v>
      </c>
      <c r="H35" s="2" t="s">
        <v>264</v>
      </c>
      <c r="I35" s="2" t="s">
        <v>265</v>
      </c>
      <c r="J35" s="2" t="s">
        <v>266</v>
      </c>
      <c r="K35" s="4" t="s">
        <v>267</v>
      </c>
      <c r="L35" s="2" t="s">
        <v>356</v>
      </c>
      <c r="M35" s="2" t="s">
        <v>399</v>
      </c>
      <c r="N35" s="2" t="s">
        <v>400</v>
      </c>
      <c r="O35">
        <f t="shared" si="0"/>
        <v>619</v>
      </c>
      <c r="P35" s="2" t="s">
        <v>401</v>
      </c>
      <c r="Q35">
        <f t="shared" si="1"/>
        <v>265</v>
      </c>
      <c r="R35">
        <f t="shared" si="2"/>
        <v>41</v>
      </c>
      <c r="S35">
        <f t="shared" si="3"/>
        <v>8</v>
      </c>
      <c r="T35">
        <f t="shared" si="4"/>
        <v>27</v>
      </c>
    </row>
    <row r="36" spans="1:20" x14ac:dyDescent="0.2">
      <c r="A36" s="2" t="s">
        <v>168</v>
      </c>
      <c r="B36" s="3" t="s">
        <v>268</v>
      </c>
      <c r="C36" s="2" t="s">
        <v>269</v>
      </c>
      <c r="D36" s="2">
        <v>37</v>
      </c>
      <c r="E36" s="2" t="s">
        <v>247</v>
      </c>
      <c r="F36" s="2" t="s">
        <v>270</v>
      </c>
      <c r="G36" s="2" t="s">
        <v>271</v>
      </c>
      <c r="H36" s="2" t="s">
        <v>93</v>
      </c>
      <c r="I36" s="2" t="s">
        <v>84</v>
      </c>
      <c r="J36" s="2" t="s">
        <v>272</v>
      </c>
      <c r="K36" s="4" t="s">
        <v>273</v>
      </c>
      <c r="L36" s="2" t="s">
        <v>357</v>
      </c>
      <c r="M36" s="2" t="s">
        <v>402</v>
      </c>
      <c r="N36" s="2" t="s">
        <v>403</v>
      </c>
      <c r="O36">
        <f t="shared" si="0"/>
        <v>678</v>
      </c>
      <c r="P36" s="2" t="s">
        <v>404</v>
      </c>
      <c r="Q36">
        <f t="shared" si="1"/>
        <v>322</v>
      </c>
      <c r="R36">
        <f t="shared" si="2"/>
        <v>56</v>
      </c>
      <c r="S36">
        <f t="shared" si="3"/>
        <v>4</v>
      </c>
      <c r="T36">
        <f t="shared" si="4"/>
        <v>31</v>
      </c>
    </row>
    <row r="37" spans="1:20" x14ac:dyDescent="0.2">
      <c r="A37" s="2" t="s">
        <v>190</v>
      </c>
      <c r="B37" s="3" t="s">
        <v>274</v>
      </c>
      <c r="C37" s="2" t="s">
        <v>275</v>
      </c>
      <c r="D37" s="2">
        <v>37.5</v>
      </c>
      <c r="E37" s="2" t="s">
        <v>276</v>
      </c>
      <c r="F37" s="2" t="s">
        <v>131</v>
      </c>
      <c r="G37" s="2" t="s">
        <v>277</v>
      </c>
      <c r="H37" s="2" t="s">
        <v>278</v>
      </c>
      <c r="I37" s="2" t="s">
        <v>213</v>
      </c>
      <c r="J37" s="2" t="s">
        <v>279</v>
      </c>
      <c r="K37" s="4" t="s">
        <v>280</v>
      </c>
      <c r="L37" s="2" t="s">
        <v>356</v>
      </c>
      <c r="M37" s="2" t="s">
        <v>405</v>
      </c>
      <c r="N37" s="2" t="s">
        <v>406</v>
      </c>
      <c r="O37">
        <f t="shared" si="0"/>
        <v>820</v>
      </c>
      <c r="P37" s="2" t="s">
        <v>407</v>
      </c>
      <c r="Q37">
        <f t="shared" si="1"/>
        <v>466</v>
      </c>
      <c r="R37">
        <f t="shared" si="2"/>
        <v>119</v>
      </c>
      <c r="S37">
        <f t="shared" si="3"/>
        <v>20</v>
      </c>
      <c r="T37">
        <f t="shared" si="4"/>
        <v>31</v>
      </c>
    </row>
    <row r="38" spans="1:20" x14ac:dyDescent="0.2">
      <c r="A38" s="2" t="s">
        <v>247</v>
      </c>
      <c r="B38" s="3" t="s">
        <v>281</v>
      </c>
      <c r="C38" s="2" t="s">
        <v>282</v>
      </c>
      <c r="D38" s="2">
        <v>37.5</v>
      </c>
      <c r="E38" s="2" t="s">
        <v>276</v>
      </c>
      <c r="F38" s="2" t="s">
        <v>283</v>
      </c>
      <c r="G38" s="2" t="s">
        <v>284</v>
      </c>
      <c r="H38" s="2" t="s">
        <v>142</v>
      </c>
      <c r="I38" s="2" t="s">
        <v>84</v>
      </c>
      <c r="J38" s="2" t="s">
        <v>285</v>
      </c>
      <c r="K38" s="4" t="s">
        <v>286</v>
      </c>
      <c r="L38" s="2" t="s">
        <v>356</v>
      </c>
      <c r="M38" s="2" t="s">
        <v>423</v>
      </c>
      <c r="N38" s="2" t="s">
        <v>424</v>
      </c>
      <c r="O38">
        <f t="shared" si="0"/>
        <v>696</v>
      </c>
      <c r="P38" s="2" t="s">
        <v>425</v>
      </c>
      <c r="Q38">
        <f t="shared" si="1"/>
        <v>343</v>
      </c>
      <c r="R38">
        <f t="shared" si="2"/>
        <v>19</v>
      </c>
      <c r="S38">
        <f t="shared" si="3"/>
        <v>3</v>
      </c>
      <c r="T38">
        <f t="shared" si="4"/>
        <v>15</v>
      </c>
    </row>
    <row r="39" spans="1:20" x14ac:dyDescent="0.2">
      <c r="A39" s="2" t="s">
        <v>287</v>
      </c>
      <c r="B39" s="3" t="s">
        <v>288</v>
      </c>
      <c r="C39" s="2" t="s">
        <v>289</v>
      </c>
      <c r="D39" s="2">
        <v>38</v>
      </c>
      <c r="E39" s="2" t="s">
        <v>287</v>
      </c>
      <c r="F39" s="2" t="s">
        <v>290</v>
      </c>
      <c r="G39" s="2" t="s">
        <v>291</v>
      </c>
      <c r="H39" s="2" t="s">
        <v>292</v>
      </c>
      <c r="I39" s="2" t="s">
        <v>205</v>
      </c>
      <c r="J39" s="2" t="s">
        <v>293</v>
      </c>
      <c r="K39" s="4" t="s">
        <v>233</v>
      </c>
      <c r="L39" s="2" t="s">
        <v>356</v>
      </c>
      <c r="M39" s="2" t="s">
        <v>420</v>
      </c>
      <c r="N39" s="2" t="s">
        <v>421</v>
      </c>
      <c r="O39">
        <f t="shared" si="0"/>
        <v>839</v>
      </c>
      <c r="P39" s="2" t="s">
        <v>422</v>
      </c>
      <c r="Q39">
        <f t="shared" si="1"/>
        <v>486</v>
      </c>
      <c r="R39">
        <f t="shared" si="2"/>
        <v>132</v>
      </c>
      <c r="S39">
        <f t="shared" si="3"/>
        <v>27</v>
      </c>
      <c r="T39">
        <f t="shared" si="4"/>
        <v>33</v>
      </c>
    </row>
    <row r="40" spans="1:20" hidden="1" x14ac:dyDescent="0.2">
      <c r="A40" s="2" t="s">
        <v>294</v>
      </c>
      <c r="B40" s="3" t="s">
        <v>295</v>
      </c>
      <c r="C40" s="2" t="s">
        <v>296</v>
      </c>
      <c r="D40" s="2">
        <v>38.5</v>
      </c>
      <c r="E40" s="2" t="s">
        <v>297</v>
      </c>
      <c r="F40" s="2" t="s">
        <v>298</v>
      </c>
      <c r="G40" s="2" t="s">
        <v>299</v>
      </c>
      <c r="H40" s="2" t="s">
        <v>194</v>
      </c>
      <c r="I40" s="2" t="s">
        <v>218</v>
      </c>
      <c r="J40" s="2" t="s">
        <v>300</v>
      </c>
      <c r="K40" s="4" t="s">
        <v>301</v>
      </c>
      <c r="L40" s="2" t="s">
        <v>357</v>
      </c>
      <c r="M40" s="2" t="s">
        <v>356</v>
      </c>
      <c r="N40" s="2"/>
      <c r="O40">
        <f t="shared" si="0"/>
        <v>0</v>
      </c>
      <c r="Q40">
        <f t="shared" si="1"/>
        <v>0</v>
      </c>
      <c r="R40">
        <f t="shared" si="2"/>
        <v>0</v>
      </c>
      <c r="S40">
        <f t="shared" si="3"/>
        <v>0</v>
      </c>
      <c r="T40">
        <f t="shared" si="4"/>
        <v>0</v>
      </c>
    </row>
    <row r="41" spans="1:20" hidden="1" x14ac:dyDescent="0.2">
      <c r="A41" s="2" t="s">
        <v>302</v>
      </c>
      <c r="B41" s="3" t="s">
        <v>303</v>
      </c>
      <c r="C41" s="2" t="s">
        <v>304</v>
      </c>
      <c r="D41" s="2">
        <v>38.5</v>
      </c>
      <c r="E41" s="2" t="s">
        <v>297</v>
      </c>
      <c r="F41" s="2" t="s">
        <v>305</v>
      </c>
      <c r="G41" s="2" t="s">
        <v>240</v>
      </c>
      <c r="H41" s="2" t="s">
        <v>220</v>
      </c>
      <c r="I41" s="2" t="s">
        <v>306</v>
      </c>
      <c r="J41" s="2" t="s">
        <v>307</v>
      </c>
      <c r="K41" s="4" t="s">
        <v>308</v>
      </c>
      <c r="L41" s="2" t="s">
        <v>357</v>
      </c>
      <c r="M41" s="2" t="s">
        <v>356</v>
      </c>
      <c r="N41" s="2"/>
      <c r="O41">
        <f t="shared" si="0"/>
        <v>0</v>
      </c>
      <c r="Q41">
        <f t="shared" si="1"/>
        <v>0</v>
      </c>
      <c r="R41">
        <f t="shared" si="2"/>
        <v>0</v>
      </c>
      <c r="S41">
        <f t="shared" si="3"/>
        <v>0</v>
      </c>
      <c r="T41">
        <f t="shared" si="4"/>
        <v>0</v>
      </c>
    </row>
    <row r="42" spans="1:20" hidden="1" x14ac:dyDescent="0.2">
      <c r="A42" s="2" t="s">
        <v>264</v>
      </c>
      <c r="B42" s="3" t="s">
        <v>309</v>
      </c>
      <c r="C42" s="2" t="s">
        <v>310</v>
      </c>
      <c r="D42" s="2">
        <v>38.5</v>
      </c>
      <c r="E42" s="2" t="s">
        <v>297</v>
      </c>
      <c r="F42" s="2" t="s">
        <v>311</v>
      </c>
      <c r="G42" s="2" t="s">
        <v>312</v>
      </c>
      <c r="H42" s="2" t="s">
        <v>137</v>
      </c>
      <c r="I42" s="2" t="s">
        <v>313</v>
      </c>
      <c r="J42" s="2" t="s">
        <v>314</v>
      </c>
      <c r="K42" s="4" t="s">
        <v>280</v>
      </c>
      <c r="L42" s="2" t="s">
        <v>356</v>
      </c>
      <c r="M42" s="2" t="s">
        <v>356</v>
      </c>
      <c r="N42" s="2"/>
      <c r="O42">
        <f t="shared" si="0"/>
        <v>0</v>
      </c>
      <c r="Q42">
        <f t="shared" si="1"/>
        <v>0</v>
      </c>
      <c r="R42">
        <f t="shared" si="2"/>
        <v>0</v>
      </c>
      <c r="S42">
        <f t="shared" si="3"/>
        <v>0</v>
      </c>
      <c r="T42">
        <f t="shared" si="4"/>
        <v>0</v>
      </c>
    </row>
    <row r="43" spans="1:20" hidden="1" x14ac:dyDescent="0.2">
      <c r="A43" s="2" t="s">
        <v>315</v>
      </c>
      <c r="B43" s="3" t="s">
        <v>316</v>
      </c>
      <c r="C43" s="2" t="s">
        <v>317</v>
      </c>
      <c r="D43" s="2">
        <v>39</v>
      </c>
      <c r="E43" s="2" t="s">
        <v>294</v>
      </c>
      <c r="F43" s="2" t="s">
        <v>318</v>
      </c>
      <c r="G43" s="2" t="s">
        <v>319</v>
      </c>
      <c r="H43" s="2" t="s">
        <v>150</v>
      </c>
      <c r="I43" s="2" t="s">
        <v>306</v>
      </c>
      <c r="J43" s="2" t="s">
        <v>320</v>
      </c>
      <c r="K43" s="4" t="s">
        <v>280</v>
      </c>
      <c r="L43" s="2" t="s">
        <v>356</v>
      </c>
      <c r="M43" s="2" t="s">
        <v>356</v>
      </c>
      <c r="N43" s="2"/>
      <c r="O43">
        <f t="shared" si="0"/>
        <v>0</v>
      </c>
      <c r="Q43">
        <f t="shared" si="1"/>
        <v>0</v>
      </c>
      <c r="R43">
        <f t="shared" si="2"/>
        <v>0</v>
      </c>
      <c r="S43">
        <f t="shared" si="3"/>
        <v>0</v>
      </c>
      <c r="T43">
        <f t="shared" si="4"/>
        <v>0</v>
      </c>
    </row>
    <row r="44" spans="1:20" x14ac:dyDescent="0.2">
      <c r="A44" s="2" t="s">
        <v>321</v>
      </c>
      <c r="B44" s="3" t="s">
        <v>322</v>
      </c>
      <c r="C44" s="2" t="s">
        <v>323</v>
      </c>
      <c r="D44" s="2">
        <v>38.5</v>
      </c>
      <c r="E44" s="2" t="s">
        <v>297</v>
      </c>
      <c r="F44" s="2" t="s">
        <v>130</v>
      </c>
      <c r="G44" s="2" t="s">
        <v>324</v>
      </c>
      <c r="H44" s="2" t="s">
        <v>5</v>
      </c>
      <c r="I44" s="2" t="s">
        <v>43</v>
      </c>
      <c r="J44" s="2" t="s">
        <v>131</v>
      </c>
      <c r="K44" s="4" t="s">
        <v>325</v>
      </c>
      <c r="L44" s="2" t="s">
        <v>356</v>
      </c>
      <c r="M44" s="2" t="s">
        <v>417</v>
      </c>
      <c r="N44" s="7" t="s">
        <v>416</v>
      </c>
      <c r="O44">
        <f t="shared" si="0"/>
        <v>466</v>
      </c>
      <c r="P44" s="2" t="s">
        <v>418</v>
      </c>
      <c r="Q44">
        <f t="shared" si="1"/>
        <v>112</v>
      </c>
      <c r="R44">
        <f t="shared" si="2"/>
        <v>7</v>
      </c>
      <c r="S44">
        <f t="shared" si="3"/>
        <v>1</v>
      </c>
      <c r="T44">
        <f t="shared" si="4"/>
        <v>3</v>
      </c>
    </row>
    <row r="45" spans="1:20" x14ac:dyDescent="0.2">
      <c r="A45" s="2" t="s">
        <v>326</v>
      </c>
      <c r="B45" s="3" t="s">
        <v>327</v>
      </c>
      <c r="C45" s="2" t="s">
        <v>328</v>
      </c>
      <c r="D45" s="2">
        <v>39</v>
      </c>
      <c r="E45" s="2" t="s">
        <v>294</v>
      </c>
      <c r="F45" s="2" t="s">
        <v>329</v>
      </c>
      <c r="G45" s="2" t="s">
        <v>330</v>
      </c>
      <c r="H45" s="2" t="s">
        <v>331</v>
      </c>
      <c r="I45" s="2" t="s">
        <v>213</v>
      </c>
      <c r="J45" s="2" t="s">
        <v>332</v>
      </c>
      <c r="K45" s="4" t="s">
        <v>280</v>
      </c>
      <c r="L45" s="2" t="s">
        <v>357</v>
      </c>
      <c r="M45" s="2" t="s">
        <v>413</v>
      </c>
      <c r="N45" s="2" t="s">
        <v>414</v>
      </c>
      <c r="O45">
        <f t="shared" si="0"/>
        <v>1022</v>
      </c>
      <c r="P45" s="2" t="s">
        <v>415</v>
      </c>
      <c r="Q45">
        <f t="shared" si="1"/>
        <v>524</v>
      </c>
      <c r="R45">
        <f t="shared" si="2"/>
        <v>114</v>
      </c>
      <c r="S45">
        <f t="shared" si="3"/>
        <v>9</v>
      </c>
      <c r="T45">
        <f t="shared" si="4"/>
        <v>38</v>
      </c>
    </row>
    <row r="46" spans="1:20" hidden="1" x14ac:dyDescent="0.2">
      <c r="A46" s="2" t="s">
        <v>333</v>
      </c>
      <c r="B46" s="3" t="s">
        <v>334</v>
      </c>
      <c r="C46" s="2" t="s">
        <v>335</v>
      </c>
      <c r="D46" s="2">
        <v>39</v>
      </c>
      <c r="E46" s="2" t="s">
        <v>294</v>
      </c>
      <c r="F46" s="2" t="s">
        <v>336</v>
      </c>
      <c r="G46" s="2" t="s">
        <v>337</v>
      </c>
      <c r="H46" s="2" t="s">
        <v>132</v>
      </c>
      <c r="I46" s="2" t="s">
        <v>57</v>
      </c>
      <c r="J46" s="2" t="s">
        <v>338</v>
      </c>
      <c r="K46" s="4" t="s">
        <v>280</v>
      </c>
      <c r="L46" s="2" t="s">
        <v>357</v>
      </c>
      <c r="M46" s="2" t="s">
        <v>356</v>
      </c>
      <c r="N46" s="2"/>
      <c r="O46">
        <f t="shared" si="0"/>
        <v>0</v>
      </c>
      <c r="Q46">
        <f t="shared" si="1"/>
        <v>0</v>
      </c>
      <c r="R46">
        <f t="shared" si="2"/>
        <v>0</v>
      </c>
      <c r="S46">
        <f t="shared" si="3"/>
        <v>0</v>
      </c>
      <c r="T46">
        <f t="shared" si="4"/>
        <v>0</v>
      </c>
    </row>
    <row r="47" spans="1:20" hidden="1" x14ac:dyDescent="0.2">
      <c r="A47" s="2" t="s">
        <v>11</v>
      </c>
      <c r="B47" s="3" t="s">
        <v>339</v>
      </c>
      <c r="C47" s="2" t="s">
        <v>340</v>
      </c>
      <c r="D47" s="2">
        <v>39.5</v>
      </c>
      <c r="E47" s="2" t="s">
        <v>341</v>
      </c>
      <c r="F47" s="2" t="s">
        <v>342</v>
      </c>
      <c r="G47" s="2" t="s">
        <v>343</v>
      </c>
      <c r="H47" s="2" t="s">
        <v>77</v>
      </c>
      <c r="I47" s="2" t="s">
        <v>344</v>
      </c>
      <c r="J47" s="2" t="s">
        <v>345</v>
      </c>
      <c r="K47" s="4" t="s">
        <v>346</v>
      </c>
      <c r="L47" s="2" t="s">
        <v>357</v>
      </c>
      <c r="M47" s="2" t="s">
        <v>356</v>
      </c>
      <c r="N47" s="2"/>
      <c r="O47">
        <f t="shared" si="0"/>
        <v>0</v>
      </c>
      <c r="Q47">
        <f t="shared" si="1"/>
        <v>0</v>
      </c>
      <c r="R47">
        <f t="shared" si="2"/>
        <v>0</v>
      </c>
      <c r="S47">
        <f t="shared" si="3"/>
        <v>0</v>
      </c>
      <c r="T47">
        <f t="shared" si="4"/>
        <v>0</v>
      </c>
    </row>
    <row r="48" spans="1:20" hidden="1" x14ac:dyDescent="0.2">
      <c r="A48" s="2" t="s">
        <v>21</v>
      </c>
      <c r="B48" s="3" t="s">
        <v>347</v>
      </c>
      <c r="C48" s="2" t="s">
        <v>348</v>
      </c>
      <c r="D48" s="2">
        <v>40</v>
      </c>
      <c r="E48" s="2" t="s">
        <v>302</v>
      </c>
      <c r="F48" s="2" t="s">
        <v>349</v>
      </c>
      <c r="G48" s="2" t="s">
        <v>350</v>
      </c>
      <c r="H48" s="2" t="s">
        <v>146</v>
      </c>
      <c r="I48" s="2" t="s">
        <v>351</v>
      </c>
      <c r="J48" s="2" t="s">
        <v>352</v>
      </c>
      <c r="K48" s="4" t="s">
        <v>353</v>
      </c>
      <c r="L48" s="2" t="s">
        <v>357</v>
      </c>
      <c r="M48" s="2" t="s">
        <v>356</v>
      </c>
      <c r="N48" s="2"/>
      <c r="O48">
        <f t="shared" si="0"/>
        <v>0</v>
      </c>
      <c r="Q48">
        <f t="shared" si="1"/>
        <v>0</v>
      </c>
      <c r="R48">
        <f t="shared" si="2"/>
        <v>0</v>
      </c>
      <c r="S48">
        <f t="shared" si="3"/>
        <v>0</v>
      </c>
      <c r="T48">
        <f t="shared" si="4"/>
        <v>0</v>
      </c>
    </row>
  </sheetData>
  <autoFilter ref="A1:T48" xr:uid="{8EE64B56-642D-A24E-8FDD-9C514CDAF49A}">
    <filterColumn colId="12">
      <filters>
        <filter val="A0A1D2MEL7"/>
        <filter val="A0A1S3HJ00"/>
        <filter val="A0A2Y9FSN0"/>
        <filter val="A0A340XSE9"/>
        <filter val="A0A5F8AND8"/>
        <filter val="A0A5F8GRG6"/>
        <filter val="A0A6J3RSK9"/>
        <filter val="A0A6P5IZE6"/>
        <filter val="A0A7D9KYI7"/>
        <filter val="A0A7M7PSM4"/>
        <filter val="A0A7N4PWI1"/>
        <filter val="A0A9L0SJQ9"/>
        <filter val="G1P711"/>
        <filter val="G5BWW6"/>
        <filter val="Q8NEC5"/>
        <filter val="Q91ZR5"/>
        <filter val="XP_003419462.1"/>
        <filter val="XP_006893479.1"/>
        <filter val="XP_027712010.1"/>
        <filter val="XP_028565661.2"/>
        <filter val="XP_028915367.1"/>
        <filter val="XP_032735402.1"/>
        <filter val="XP_044234306.2"/>
        <filter val="XP_051710737.2"/>
        <filter val="XP_064432657.1"/>
        <filter val="XP_068832557.1"/>
        <filter val="XP_072495261.1"/>
      </filters>
    </filterColumn>
  </autoFilter>
  <conditionalFormatting sqref="E1:E104857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:R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:S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ntainsText" dxfId="1" priority="2" operator="containsText" text="Yes">
      <formula>NOT(ISERROR(SEARCH("Yes",L1)))</formula>
    </cfRule>
  </conditionalFormatting>
  <conditionalFormatting sqref="L1:M1048576">
    <cfRule type="containsText" dxfId="0" priority="1" operator="containsText" text="No">
      <formula>NOT(ISERROR(SEARCH("No",L1)))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Ruff, Kiersten</dc:creator>
  <cp:lastModifiedBy>Ruff, Kiersten</cp:lastModifiedBy>
  <dcterms:created xsi:type="dcterms:W3CDTF">2026-04-21T14:58:30Z</dcterms:created>
  <dcterms:modified xsi:type="dcterms:W3CDTF">2026-04-21T19:03:56Z</dcterms:modified>
</cp:coreProperties>
</file>